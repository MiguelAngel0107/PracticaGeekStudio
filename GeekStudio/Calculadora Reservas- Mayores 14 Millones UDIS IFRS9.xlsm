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E:\UPC\Programacion II\Unidad I\Tareas\EjercicioMIguel\TareaNumero1_Obj\GeekStudio\"/>
    </mc:Choice>
  </mc:AlternateContent>
  <xr:revisionPtr revIDLastSave="0" documentId="13_ncr:1_{0E136250-8743-4166-9B9D-2C50AF15DFDD}" xr6:coauthVersionLast="47" xr6:coauthVersionMax="47" xr10:uidLastSave="{00000000-0000-0000-0000-000000000000}"/>
  <workbookProtection workbookAlgorithmName="SHA-512" workbookHashValue="rrz+NY6k0LwFPHkIa71I4eRRR4CABr3f05OwJ3MGhqWWj/Pt2Z5Mr0SR40A/kvPlWzrunFkm2BQZ0uL3POTZnQ==" workbookSaltValue="dt93e3bkss+8bG3LTqRYCA==" workbookSpinCount="100000" lockStructure="1"/>
  <bookViews>
    <workbookView xWindow="-120" yWindow="-120" windowWidth="29040" windowHeight="15840" xr2:uid="{00000000-000D-0000-FFFF-FFFF00000000}"/>
  </bookViews>
  <sheets>
    <sheet name="Calculadora" sheetId="1" r:id="rId1"/>
    <sheet name="Puntaje Cuanti" sheetId="3" r:id="rId2"/>
    <sheet name="Puntaje Cuali" sheetId="4" r:id="rId3"/>
  </sheets>
  <definedNames>
    <definedName name="_xlnm.Print_Area" localSheetId="0">Calculadora!$A$1:$S$124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43" i="1" l="1"/>
  <c r="O24" i="1"/>
  <c r="X123" i="1" l="1"/>
  <c r="X124" i="1" s="1"/>
  <c r="X125" i="1" s="1"/>
  <c r="X126" i="1" s="1"/>
  <c r="X127" i="1" s="1"/>
  <c r="X128" i="1" s="1"/>
  <c r="X129" i="1" s="1"/>
  <c r="X130" i="1" s="1"/>
  <c r="X131" i="1" s="1"/>
  <c r="X132" i="1" s="1"/>
  <c r="X133" i="1" s="1"/>
  <c r="P39" i="1" l="1"/>
  <c r="P37" i="1"/>
  <c r="P33" i="1"/>
  <c r="P31" i="1"/>
  <c r="P79" i="1" l="1"/>
  <c r="P77" i="1"/>
  <c r="P75" i="1"/>
  <c r="P73" i="1"/>
  <c r="P71" i="1"/>
  <c r="P69" i="1"/>
  <c r="P65" i="1"/>
  <c r="P63" i="1"/>
  <c r="P61" i="1"/>
  <c r="P59" i="1"/>
  <c r="P57" i="1"/>
  <c r="P55" i="1"/>
  <c r="P53" i="1"/>
  <c r="P51" i="1"/>
  <c r="P49" i="1"/>
  <c r="P47" i="1"/>
  <c r="P45" i="1"/>
  <c r="O14" i="1"/>
  <c r="G84" i="1" l="1"/>
  <c r="G82" i="1"/>
  <c r="M82" i="1" s="1"/>
  <c r="C99" i="1" l="1"/>
  <c r="C98" i="1"/>
  <c r="C97" i="1"/>
  <c r="C93" i="1"/>
  <c r="C94" i="1"/>
  <c r="C92" i="1"/>
  <c r="Z92" i="1" l="1"/>
  <c r="I10" i="1" l="1"/>
  <c r="M94" i="1" l="1"/>
  <c r="K94" i="1"/>
  <c r="AC99" i="1"/>
  <c r="AC98" i="1"/>
  <c r="AB97" i="1"/>
  <c r="AC92" i="1"/>
  <c r="AB92" i="1"/>
  <c r="AA92" i="1"/>
  <c r="P95" i="1" l="1"/>
  <c r="M110" i="1" s="1"/>
  <c r="C122" i="1" l="1"/>
  <c r="AB99" i="1"/>
  <c r="AB98" i="1"/>
  <c r="AC94" i="1" l="1"/>
  <c r="AB94" i="1"/>
  <c r="AA94" i="1"/>
  <c r="AC93" i="1"/>
  <c r="AB93" i="1"/>
  <c r="AA93" i="1"/>
  <c r="Z93" i="1" l="1"/>
  <c r="AH93" i="1" s="1"/>
  <c r="AI93" i="1" s="1"/>
  <c r="AK93" i="1" s="1"/>
  <c r="Z94" i="1"/>
  <c r="AH94" i="1" s="1"/>
  <c r="AI94" i="1" s="1"/>
  <c r="AK94" i="1" s="1"/>
  <c r="AD94" i="1" l="1"/>
  <c r="AE94" i="1" s="1"/>
  <c r="AD93" i="1"/>
  <c r="AF93" i="1"/>
  <c r="AG93" i="1" s="1"/>
  <c r="K93" i="1" s="1"/>
  <c r="AJ94" i="1"/>
  <c r="AF94" i="1"/>
  <c r="AG94" i="1" s="1"/>
  <c r="AE93" i="1" l="1"/>
  <c r="AJ93" i="1"/>
  <c r="M93" i="1" s="1"/>
  <c r="M84" i="1" l="1"/>
  <c r="AH92" i="1" l="1"/>
  <c r="AJ92" i="1" s="1"/>
  <c r="AF92" i="1" l="1"/>
  <c r="AG92" i="1" s="1"/>
  <c r="K92" i="1" s="1"/>
  <c r="AD92" i="1"/>
  <c r="AI92" i="1"/>
  <c r="AK92" i="1" s="1"/>
  <c r="AE92" i="1" l="1"/>
  <c r="M92" i="1"/>
  <c r="AC97" i="1"/>
  <c r="AC100" i="1" l="1"/>
  <c r="AE100" i="1" l="1"/>
  <c r="AD100" i="1"/>
  <c r="AF100" i="1" s="1"/>
  <c r="AG100" i="1" s="1"/>
  <c r="K97" i="1" l="1"/>
  <c r="M97" i="1"/>
  <c r="Y92" i="1" l="1"/>
  <c r="K102" i="1"/>
  <c r="M102" i="1" s="1"/>
  <c r="M104" i="1" l="1"/>
  <c r="M106" i="1" s="1"/>
  <c r="O116" i="1" s="1"/>
  <c r="K104" i="1"/>
  <c r="O118" i="1"/>
  <c r="P118" i="1" s="1"/>
  <c r="P116" i="1" l="1"/>
  <c r="O120" i="1" l="1"/>
  <c r="P120" i="1" s="1"/>
  <c r="O1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Administrador</author>
    <author>Daniel Alejandro Hernandez</author>
    <author>lmontenegro</author>
  </authors>
  <commentList>
    <comment ref="M8" authorId="0" shapeId="0" xr:uid="{00000000-0006-0000-0000-000001000000}">
      <text>
        <r>
          <rPr>
            <sz val="8"/>
            <color indexed="81"/>
            <rFont val="Tahoma"/>
            <family val="2"/>
          </rPr>
          <t xml:space="preserve">Revocable: Líneas de crédito no comprometidas, que sean cancelables incondicionalmente o bien, que permitan en la práctica una cancelación automática en cualquier momento y sin previo aviso por parte de las Instituciones; siempre y cuando dichas Instituciones demuestren que realizan un seguimiento constante de la situación financiera del prestatario y que sus Sistemas de Control Interno permiten cancelar la línea ante muestras de deterioro de la calidad crediticia del prestatario.
</t>
        </r>
      </text>
    </comment>
    <comment ref="G10" authorId="0" shapeId="0" xr:uid="{00000000-0006-0000-0000-000002000000}">
      <text>
        <r>
          <rPr>
            <sz val="8"/>
            <color indexed="81"/>
            <rFont val="Tahoma"/>
            <family val="2"/>
          </rPr>
          <t xml:space="preserve">Cuando los estados financieros del acreditado no cumplan con el requisito de antigüedad anterior (18 meses) o dicho acreditado no disponga de estados financieros, las Instituciones lo calificarán utilizando la metodología "Con Ingresos Netos o Ventas Netas anuales Menores al equivalente en moneda nacional a 14 millones de UDIs".
</t>
        </r>
      </text>
    </comment>
    <comment ref="M14" authorId="0" shapeId="0" xr:uid="{00000000-0006-0000-0000-000003000000}">
      <text>
        <r>
          <rPr>
            <sz val="8"/>
            <color indexed="81"/>
            <rFont val="Tahoma"/>
            <family val="2"/>
          </rPr>
          <t xml:space="preserve">Clasificación de Entidades Criterio:
</t>
        </r>
        <r>
          <rPr>
            <u/>
            <sz val="8"/>
            <color indexed="81"/>
            <rFont val="Tahoma"/>
            <family val="2"/>
          </rPr>
          <t>Pequeños Corporativos</t>
        </r>
        <r>
          <rPr>
            <sz val="8"/>
            <color indexed="81"/>
            <rFont val="Tahoma"/>
            <family val="2"/>
          </rPr>
          <t xml:space="preserve">
Ventas Netas anuales mayores o iguales a 14 millones de UDIS y menores a 54 millones de UDIS
</t>
        </r>
        <r>
          <rPr>
            <u/>
            <sz val="8"/>
            <color indexed="81"/>
            <rFont val="Tahoma"/>
            <family val="2"/>
          </rPr>
          <t xml:space="preserve">Grandes Corporativos
</t>
        </r>
        <r>
          <rPr>
            <sz val="8"/>
            <color indexed="81"/>
            <rFont val="Tahoma"/>
            <family val="2"/>
          </rPr>
          <t>Ventas Netas anuales mayores o iguales a 54 millones de UDIS.</t>
        </r>
      </text>
    </comment>
    <comment ref="G16" authorId="1" shapeId="0" xr:uid="{00000000-0006-0000-0000-000004000000}">
      <text>
        <r>
          <rPr>
            <sz val="9"/>
            <color indexed="81"/>
            <rFont val="Tahoma"/>
            <family val="2"/>
          </rPr>
          <t>Se deberá clasificar cada acreditado en el sector económico donde tenga mayor preponderancia (del que obtiene la mayor parte de su ingreso). Para efectuar dicha clasificación, se considerarán las claves correspondientes a cada sector económico conforme al catálogo del INEGI denominado SCIAN.</t>
        </r>
      </text>
    </comment>
    <comment ref="F20" authorId="2" shapeId="0" xr:uid="{00000000-0006-0000-0000-000005000000}">
      <text>
        <r>
          <rPr>
            <sz val="8"/>
            <color indexed="81"/>
            <rFont val="Tahoma"/>
            <family val="2"/>
          </rPr>
          <t>Artículo 113.- Las Instituciones deberán asignar una PIi del 100 por ciento al acreditado en los
siguientes casos:
I. Cuando el acreditado tenga algún crédito con la Institución que se encuentre en etapa 3 (mayor a 90 días de atraso).
II. Cuando el acreditado tenga algún crédito con la Institución que se encuentre en cartera vencida, de acuerdo con los términos del criterio B-6 “Cartera de Crédito” de los Criterios Contables.
Lo anterior no será aplicable para las obligaciones que no sean reconocidas por el cliente y respecto de las cuales exista un procedimiento de reclamación o aclaración, ni para aquellas cuyos montos sean menores al 5 por ciento del monto total de la deuda que el acreditado tenga con la Institución al momento de la calificación.
III. Cuando sea probable que el deudor no cumpla la totalidad de sus obligaciones crediticias frente a la Institución, actualizándose tal supuesto cuando:
a) La Institución considere que pudieran existir indicios de deterioro para alguno de los créditos a cargo del deudor, o bien la Institución determine que alguno de los créditos a cargo del deudor constituye una “cartera emproblemada” en los términos del criterio “B-6 Cartera de Crédito” de los Criterios Contables, o bien
b) La Institución haya demandado el concurso mercantil del deudor o bien este último lo haya solicitado.
IV. Si la Institución hubiere omitido durante tres meses consecutivos reportar a la sociedad de información crediticia algún crédito del acreditado o bien, cuando se encuentre desactualizada la información de algún crédito del acreditado relacionada con el saldo y el comportamiento del pago que deba enviarse a dicha sociedad.
V. Si existen diferencias entre los conceptos que la Institución reporte a la sociedad de información crediticia y la información que obre en los expedientes de las propias Instituciones, que reflejen atrasos en los pagos en la propia Institución durante tres meses consecutivos.
VI. Tratándose de acreditados que sean entidades federativas y municipios, cuando la Institución no hubiera reportado durante tres meses consecutivos a la sociedad de información crediticia el saldo de la deuda de la entidad federativa o municipio.
VII.  Si la Institución hubiere tenido acceso a información que cumpla con los requerimientos de antigüedad máxima y definiciones contenidas dentro de los Anexos 18, 20, 21 y 22, para realizar la estimación de la Probabilidad de Incumplimiento, pero en su lugar hubiere utilizado los puntajes correspondientes al rango “Sin Información” de forma sistemática con el objetivo de obtener una Probabilidad de Incumplimiento inferior a la que hubiere sido estimada mediante la utilización de toda la información disponible.
Para efectos de lo dispuesto en las fracciones III, IV y V, las Instituciones deberán proporcionar a las sociedades de información crediticia, los datos e información que corresponda a todos los registros de identidad con que cuenten de sus propios acreditados, que sean atribuibles a un mismo acreditado.
En el caso de las fracciones III, IV, V y VI anteriores, una vez asignada la PIi de 100 por ciento para el acreditado, se deberá mantener durante el plazo mínimo de un año, a partir de la fecha en la que se detecte la omisión o la inconsistencia del registro, o bien, la falta de actualización señaladas.</t>
        </r>
      </text>
    </comment>
    <comment ref="F24" authorId="2" shapeId="0" xr:uid="{00000000-0006-0000-0000-000006000000}">
      <text>
        <r>
          <rPr>
            <sz val="8"/>
            <color indexed="81"/>
            <rFont val="Tahoma"/>
            <family val="2"/>
          </rPr>
          <t>Para la clasificación del incremento significativo del riesgo crediticio a nivel crédito:
- Etapa 1: Para los créditos con días de atraso menores o iguales a 30 días.
- Etapa 2: Para los créditos con días de atraso mayores a 30 días y menores a 90 días, o que incumplan con alguno de los criterios descritos en la etapa 1 o 3.
- Etapa 3: Para los créditos con días de atraso mayores o iguales a 90 días o cuando el crédito se encuentre en etapa 3 de acuerdo con los términos establecidos en el Criterio Contable B-6 “Cartera de Crédito” y el presente capítulo.
* Para el caso del conteo de los días de atraso, las instituciones podrán emplear periodos mensuales, con independencia del número de días que tenga cada mes calendario (1 mes = 30 días, 3 meses = 90 días); se deberán considerar días naturales.</t>
        </r>
      </text>
    </comment>
    <comment ref="E30" authorId="0" shapeId="0" xr:uid="{00000000-0006-0000-0000-000007000000}">
      <text>
        <r>
          <rPr>
            <sz val="8"/>
            <color indexed="81"/>
            <rFont val="Tahoma"/>
            <family val="2"/>
          </rPr>
          <t xml:space="preserve">Para las personas morales y físicas con actividad empresarial que no cuenten con información del historial crediticio dentro de dichas empresas se deberán asignar los puntos del rango “Sin Información” para los indicadores del apartado I-A (Factor de riesgo experiencia de pago).
</t>
        </r>
      </text>
    </comment>
    <comment ref="F31" authorId="0" shapeId="0" xr:uid="{00000000-0006-0000-0000-000008000000}">
      <text>
        <r>
          <rPr>
            <sz val="8"/>
            <color indexed="81"/>
            <rFont val="Tahoma"/>
            <family val="2"/>
          </rPr>
          <t xml:space="preserve">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3" authorId="0" shapeId="0" xr:uid="{00000000-0006-0000-0000-000009000000}">
      <text>
        <r>
          <rPr>
            <sz val="8"/>
            <color indexed="81"/>
            <rFont val="Tahoma"/>
            <family val="2"/>
          </rPr>
          <t xml:space="preserve">(Antigüedad no mayor a 2 meses a la fecha de calificación)
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7" authorId="0" shapeId="0" xr:uid="{00000000-0006-0000-0000-00000A000000}">
      <text>
        <r>
          <rPr>
            <sz val="8"/>
            <color indexed="81"/>
            <rFont val="Tahoma"/>
            <family val="2"/>
          </rPr>
          <t xml:space="preserve">El cálculo deberá realizarse considerando todas las exposiciones del acreditado con la Institución.
Días de Atraso: Número de días naturales a la fecha de calificación (cierre de mes), durante los cuales el acreditado no haya liquidado en su totalidad el monto exigible en los términos pactados originalmente. Esta variable deberá ser expresada con un número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9" authorId="0" shapeId="0" xr:uid="{00000000-0006-0000-0000-00000B000000}">
      <text>
        <r>
          <rPr>
            <sz val="8"/>
            <color indexed="81"/>
            <rFont val="Tahoma"/>
            <family val="2"/>
          </rPr>
          <t xml:space="preserve">Calculado a la fecha de calificación (cierre de mes).
El cálculo deberá realizarse considerando todas las exposiciones del acreditado con la Institución.
En caso de que el acreditado no cuente con el tiempo de experiencia interna necesario para el cálculo de la variable, se realizará el cálculo con la información disponible al momento de la calificación.
</t>
        </r>
      </text>
    </comment>
    <comment ref="F43" authorId="0" shapeId="0" xr:uid="{00000000-0006-0000-0000-00000C000000}">
      <text>
        <r>
          <rPr>
            <sz val="8"/>
            <color indexed="81"/>
            <rFont val="Tahoma"/>
            <family val="2"/>
          </rPr>
          <t xml:space="preserve">Utilidad Neta / Capital Contable
</t>
        </r>
      </text>
    </comment>
    <comment ref="F45" authorId="0" shapeId="0" xr:uid="{00000000-0006-0000-0000-00000D000000}">
      <text>
        <r>
          <rPr>
            <sz val="8"/>
            <color indexed="81"/>
            <rFont val="Tahoma"/>
            <family val="2"/>
          </rPr>
          <t>(Cuentas y documentos por cobrar / Ingresos anuales) * 365</t>
        </r>
      </text>
    </comment>
    <comment ref="F47" authorId="0" shapeId="0" xr:uid="{00000000-0006-0000-0000-00000E000000}">
      <text>
        <r>
          <rPr>
            <sz val="8"/>
            <color indexed="81"/>
            <rFont val="Tahoma"/>
            <family val="2"/>
          </rPr>
          <t>Efectivo / Activo Total</t>
        </r>
      </text>
    </comment>
    <comment ref="F49" authorId="0" shapeId="0" xr:uid="{00000000-0006-0000-0000-00000F000000}">
      <text>
        <r>
          <rPr>
            <sz val="8"/>
            <color indexed="81"/>
            <rFont val="Tahoma"/>
            <family val="2"/>
          </rPr>
          <t>Utilidad de la Operación anual / Gastos por intereses anuales</t>
        </r>
      </text>
    </comment>
    <comment ref="F51" authorId="0" shapeId="0" xr:uid="{00000000-0006-0000-0000-000010000000}">
      <text>
        <r>
          <rPr>
            <sz val="8"/>
            <color indexed="81"/>
            <rFont val="Tahoma"/>
            <family val="2"/>
          </rPr>
          <t>(Efectivo + Invetsiones a corto plazo) / Pasivo Circulante</t>
        </r>
      </text>
    </comment>
    <comment ref="F53" authorId="0" shapeId="0" xr:uid="{00000000-0006-0000-0000-000011000000}">
      <text>
        <r>
          <rPr>
            <sz val="8"/>
            <color indexed="81"/>
            <rFont val="Tahoma"/>
            <family val="2"/>
          </rPr>
          <t>Ingresos anuales / Propiedad, planta y equipo</t>
        </r>
      </text>
    </comment>
    <comment ref="F55" authorId="0" shapeId="0" xr:uid="{00000000-0006-0000-0000-000012000000}">
      <text>
        <r>
          <rPr>
            <sz val="8"/>
            <color indexed="81"/>
            <rFont val="Tahoma"/>
            <family val="2"/>
          </rPr>
          <t>Ingresos anuales / (Activo Total - Pasivo Circulante)</t>
        </r>
      </text>
    </comment>
    <comment ref="F57" authorId="0" shapeId="0" xr:uid="{00000000-0006-0000-0000-000013000000}">
      <text>
        <r>
          <rPr>
            <sz val="8"/>
            <color indexed="81"/>
            <rFont val="Tahoma"/>
            <family val="2"/>
          </rPr>
          <t>Gastos por intereses anuales / Ingresos anuales</t>
        </r>
      </text>
    </comment>
    <comment ref="F59" authorId="0" shapeId="0" xr:uid="{00000000-0006-0000-0000-000014000000}">
      <text>
        <r>
          <rPr>
            <sz val="8"/>
            <color indexed="81"/>
            <rFont val="Tahoma"/>
            <family val="2"/>
          </rPr>
          <t>Ingresos anuales / Activo Total</t>
        </r>
      </text>
    </comment>
    <comment ref="F61" authorId="0" shapeId="0" xr:uid="{00000000-0006-0000-0000-000015000000}">
      <text>
        <r>
          <rPr>
            <sz val="8"/>
            <color indexed="81"/>
            <rFont val="Tahoma"/>
            <family val="2"/>
          </rPr>
          <t>((Proveedores + Préstamos a Corto Plazo) / Costo de Ventas anual) × 365</t>
        </r>
      </text>
    </comment>
    <comment ref="F63" authorId="0" shapeId="0" xr:uid="{00000000-0006-0000-0000-000016000000}">
      <text>
        <r>
          <rPr>
            <sz val="8"/>
            <color indexed="81"/>
            <rFont val="Tahoma"/>
            <family val="2"/>
          </rPr>
          <t>(Activo Circulante - Pasivo Circulante) / Ingresos anuales</t>
        </r>
      </text>
    </comment>
    <comment ref="F65" authorId="0" shapeId="0" xr:uid="{00000000-0006-0000-0000-000017000000}">
      <text>
        <r>
          <rPr>
            <sz val="8"/>
            <color indexed="81"/>
            <rFont val="Tahoma"/>
            <family val="2"/>
          </rPr>
          <t>Utilidad Bruta anual / Ingresos anuales</t>
        </r>
      </text>
    </comment>
    <comment ref="F69" authorId="0" shapeId="0" xr:uid="{00000000-0006-0000-0000-000018000000}">
      <text>
        <r>
          <rPr>
            <sz val="8"/>
            <color indexed="81"/>
            <rFont val="Tahoma"/>
            <family val="2"/>
          </rPr>
          <t>(Antigüedad no mayor a 18 meses)
Volatilidad de las variaciones anuales del Producto Interno Bruto de la actividad económica en la que se desempeña la empresa.</t>
        </r>
      </text>
    </comment>
    <comment ref="F71" authorId="0" shapeId="0" xr:uid="{00000000-0006-0000-0000-000019000000}">
      <text>
        <r>
          <rPr>
            <sz val="8"/>
            <color indexed="81"/>
            <rFont val="Tahoma"/>
            <family val="2"/>
          </rPr>
          <t xml:space="preserve">Evaluar los principales factores que tienen un impacto en las principales actividades de la industria tomando en cuenta: el crecimiento y desempeño de la industria, competidores clave, participación en el mercado, forma en que se asignan los precios y condiciones prevalecientes en el mercado.
</t>
        </r>
      </text>
    </comment>
    <comment ref="F73" authorId="0" shapeId="0" xr:uid="{00000000-0006-0000-0000-00001A000000}">
      <text>
        <r>
          <rPr>
            <sz val="8"/>
            <color indexed="81"/>
            <rFont val="Tahoma"/>
            <family val="2"/>
          </rPr>
          <t>Nivel de flexibilidad de la empresa para diversificar sus clientes dentro de la actividad económica que esta desarrolla.</t>
        </r>
      </text>
    </comment>
    <comment ref="F75" authorId="0" shapeId="0" xr:uid="{00000000-0006-0000-0000-00001B000000}">
      <text>
        <r>
          <rPr>
            <sz val="8"/>
            <color indexed="81"/>
            <rFont val="Tahoma"/>
            <family val="2"/>
          </rPr>
          <t>(Antigüedad no mayor a 24 meses)
Apego y transparencia a las normas de contabilidad y revelación de resultados por parte de la persona física o moral. Se evaluará la periodicidad con la que han sido auditados los estados financieros por parte de un despacho externo.</t>
        </r>
      </text>
    </comment>
    <comment ref="F77" authorId="0" shapeId="0" xr:uid="{00000000-0006-0000-0000-00001C000000}">
      <text>
        <r>
          <rPr>
            <sz val="8"/>
            <color indexed="81"/>
            <rFont val="Tahoma"/>
            <family val="2"/>
          </rPr>
          <t>(Antigüedad no mayor a 18 meses)
Consistencia de la estructura organizacional con los objetivos del negocio.</t>
        </r>
      </text>
    </comment>
    <comment ref="F79" authorId="0" shapeId="0" xr:uid="{00000000-0006-0000-0000-00001D000000}">
      <text>
        <r>
          <rPr>
            <sz val="8"/>
            <color indexed="81"/>
            <rFont val="Tahoma"/>
            <family val="2"/>
          </rPr>
          <t>(Antigüedad no mayor a 18 meses)
Las Instituciones deberán evaluar la composición de la tenencia accionaria con el fin de conocer la propensión al riesgo de la empresa en la toma de decisiones.</t>
        </r>
      </text>
    </comment>
    <comment ref="J82" authorId="0" shapeId="0" xr:uid="{00000000-0006-0000-0000-00001E000000}">
      <text>
        <r>
          <rPr>
            <sz val="8"/>
            <color indexed="81"/>
            <rFont val="Tahoma"/>
            <family val="2"/>
          </rPr>
          <t>Criterio Factor Peso:
PYMES
Ventas Netas anuales menores a 14 millones de UDIS y menores a 54 millones de UDIS
a 100% y (1-a) 0%</t>
        </r>
      </text>
    </comment>
    <comment ref="E91" authorId="2" shapeId="0" xr:uid="{00000000-0006-0000-0000-00001F000000}">
      <text>
        <r>
          <rPr>
            <b/>
            <sz val="8"/>
            <color indexed="81"/>
            <rFont val="Tahoma"/>
            <family val="2"/>
          </rPr>
          <t>Se debe considerar un renglón para cada Tipo de Garantía.
Ejemplo si se tienen 2 inmubles se captura la suma de estos en un sólo renglón.</t>
        </r>
        <r>
          <rPr>
            <sz val="8"/>
            <color indexed="81"/>
            <rFont val="Tahoma"/>
            <family val="2"/>
          </rPr>
          <t xml:space="preserve">
</t>
        </r>
      </text>
    </comment>
    <comment ref="F91" authorId="0" shapeId="0" xr:uid="{00000000-0006-0000-0000-000020000000}">
      <text>
        <r>
          <rPr>
            <sz val="8"/>
            <color indexed="81"/>
            <rFont val="Tahoma"/>
            <family val="2"/>
          </rPr>
          <t xml:space="preserve">(19) CXV. Posiciones Preferentes, en plural o singular, a la cartera de crédito y los valores que a efectos de prelación en pago tienen prioridad sobre otros acreedores del deudor.
(19) CXVI. Posiciones Subordinadas, en plural o singular, a la cartera de crédito y los valores que a efectos de su prelación en pago, se sitúan detrás de otros acreedores del deudor.
</t>
        </r>
      </text>
    </comment>
    <comment ref="F96" authorId="0" shapeId="0" xr:uid="{00000000-0006-0000-0000-000021000000}">
      <text>
        <r>
          <rPr>
            <sz val="8"/>
            <color indexed="81"/>
            <rFont val="Tahoma"/>
            <family val="2"/>
          </rPr>
          <t xml:space="preserve">(50) c) Tratándose de Operaciones que cuenten con una garantía real, en las que tanto la exposición como dicha garantía estén denominadas en una misma moneda, podrá asignarse una ponderación de riesgo de crédito de 0 (cero) por ciento a la parte cubierta de la exposición, siempre que:
(50) 1. La garantía consista de efectivo depositado en la propia Institución o
(50) 2. La garantía real haya sido descontada en 20 por ciento en su valor de mercado y consista de valores emitidos por el Gobierno Federal, Banco de México, o por el IPAB, conforme a lo establecido en el grupo I, referido en el Artículo 2 Bis 12 de las presentes disposiciones.
</t>
        </r>
      </text>
    </comment>
    <comment ref="K106" authorId="2" shapeId="0" xr:uid="{00000000-0006-0000-0000-000022000000}">
      <text>
        <r>
          <rPr>
            <sz val="8"/>
            <color indexed="81"/>
            <rFont val="Tahoma"/>
            <family val="2"/>
          </rPr>
          <t>Artículo 114.- La Severidad de la Pérdida (SPi) será de 45 por ciento para los créditos de la Cartera Crediticia Comercial que carezcan de cobertura de garantías reales, personales o derivados de crédito.
Asimismo, les corresponderá una SPi del 75 por ciento a los créditos subordinados; en el caso de créditos sindicados aquellos que para efectos de su prelación en el pago, contractualmente se encuentren subordinados respecto de otros acreedores.
Entre los 0 y 36 meses de vencimiento les corresponderá una SPi de acuerdo a la tabla presente en el artículo 114, primer columna.
Les corresponderá una SPi del 100 por ciento a los créditos que reporten 36 o más meses de atraso en el pago del monto exigible en los términos pactados originalmente.
Tratándose de créditos cubiertos con garantías reales o personales, así como por derivados de crédito, las Instituciones deberán sujetarse a lo que establece el Sub Apartado B del presente apartado.</t>
        </r>
      </text>
    </comment>
    <comment ref="K110" authorId="2" shapeId="0" xr:uid="{00000000-0006-0000-0000-000023000000}">
      <text>
        <r>
          <rPr>
            <b/>
            <sz val="8"/>
            <color indexed="81"/>
            <rFont val="Tahoma"/>
            <family val="2"/>
          </rPr>
          <t>Artículo 115</t>
        </r>
        <r>
          <rPr>
            <sz val="8"/>
            <color indexed="81"/>
            <rFont val="Tahoma"/>
            <family val="2"/>
          </rPr>
          <t xml:space="preserve">
</t>
        </r>
      </text>
    </comment>
    <comment ref="E116" authorId="1" shapeId="0" xr:uid="{00000000-0006-0000-0000-000024000000}">
      <text>
        <r>
          <rPr>
            <u/>
            <sz val="9"/>
            <color indexed="81"/>
            <rFont val="Tahoma"/>
            <family val="2"/>
          </rPr>
          <t>Amortizaciones periódicas:</t>
        </r>
        <r>
          <rPr>
            <sz val="9"/>
            <color indexed="81"/>
            <rFont val="Tahoma"/>
            <family val="2"/>
          </rPr>
          <t xml:space="preserve"> para créditos con pago de capital e intereses periódicos y créditos revolventes.
</t>
        </r>
        <r>
          <rPr>
            <u/>
            <sz val="9"/>
            <color indexed="81"/>
            <rFont val="Tahoma"/>
            <family val="2"/>
          </rPr>
          <t>Amortización al vencimiento:</t>
        </r>
        <r>
          <rPr>
            <sz val="9"/>
            <color indexed="81"/>
            <rFont val="Tahoma"/>
            <family val="2"/>
          </rPr>
          <t xml:space="preserve"> para créditos con una sola amortización al vencimiento de capital e intereses o una sola amortización de capital al vencimiento y pago periódico de intereses.</t>
        </r>
      </text>
    </comment>
    <comment ref="M118" authorId="0" shapeId="0" xr:uid="{00000000-0006-0000-0000-000025000000}">
      <text>
        <r>
          <rPr>
            <sz val="8"/>
            <color indexed="81"/>
            <rFont val="Tahoma"/>
            <family val="2"/>
          </rPr>
          <t>(130) VI. El porcentaje de reservas será igual a 0.5% para el crédito otorgado a, o para la fracción o totalidad de cada crédito cubierto con una garantía otorgada por:
(130) i. Entidades de la Administración Pública Federal bajo control presupuestario directo o Programas derivados de una ley federal que formen parte del Presupuesto de Egresos de la Federación.
(130) ii. Fideicomisos públicos que tengan el carácter de entidades paraestatales y que formen parte del Sistema Bancario Mexicano en la fecha del otorgamiento, de conformidad con el Artículo 3 de la Ley.
(130) iii. Fideicomisos de Contragarantía.
(130) iv. La Financiera Rural.
(130) v. El Fondo Nacional de Infraestructura.
(130) vi. El Fondo Nacional de Garantías de los sectores Agropecuario, Forestal, Pesquero y Rural.
(130) vii. Fideicomisos celebrados específicamente con la finalidad de compartir el riesgo de crédito con las Instituciones, en los cuales actúen como fideicomitentes y fiduciarias instituciones de banca de desarrollo que cuenten con la garantía expresa del Gobierno Federal.
(130) viii. Cualquier entidad con garantía expresa del Gobierno Federal.</t>
        </r>
        <r>
          <rPr>
            <sz val="8"/>
            <color indexed="81"/>
            <rFont val="Tahoma"/>
            <family val="2"/>
          </rPr>
          <t xml:space="preserve">
</t>
        </r>
      </text>
    </comment>
    <comment ref="G120" authorId="1" shapeId="0" xr:uid="{00000000-0006-0000-0000-000026000000}">
      <text>
        <r>
          <rPr>
            <sz val="9"/>
            <color indexed="81"/>
            <rFont val="Tahoma"/>
            <family val="2"/>
          </rPr>
          <t xml:space="preserve">Plazo remanente del i-ésimo crédito, número de años que, de acuerdo a lo establecido contractualmente, resta para liquidar el crédito a la fecha de calificación de cartera.
En los casos donde el plazo contractual del crédito ya haya finalizado y aún exista un saldo remanente, el horizonte mínimo a considerar será un </t>
        </r>
        <r>
          <rPr>
            <b/>
            <sz val="9"/>
            <color indexed="81"/>
            <rFont val="Tahoma"/>
            <family val="2"/>
          </rPr>
          <t>horizonte anual</t>
        </r>
        <r>
          <rPr>
            <sz val="9"/>
            <color indexed="81"/>
            <rFont val="Tahoma"/>
            <family val="2"/>
          </rPr>
          <t xml:space="preserve">.
En el caso de créditos revolventes corresponderá al plazo de revisión de las condiciones de la línea otorgada al acreditado, en caso que la Institución no cuente con esta información el plazo mínimo a utilizar serán </t>
        </r>
        <r>
          <rPr>
            <b/>
            <sz val="9"/>
            <color indexed="81"/>
            <rFont val="Tahoma"/>
            <family val="2"/>
          </rPr>
          <t>2.5 años</t>
        </r>
        <r>
          <rPr>
            <sz val="9"/>
            <color indexed="81"/>
            <rFont val="Tahoma"/>
            <family val="2"/>
          </rPr>
          <t>.
El valor de esta variable deberá estar expresado a cinco decimales.</t>
        </r>
      </text>
    </comment>
  </commentList>
</comments>
</file>

<file path=xl/sharedStrings.xml><?xml version="1.0" encoding="utf-8"?>
<sst xmlns="http://schemas.openxmlformats.org/spreadsheetml/2006/main" count="1532" uniqueCount="226">
  <si>
    <t>No. Cliente</t>
  </si>
  <si>
    <t>Nombre</t>
  </si>
  <si>
    <t>PROBABILIDAD DE INCUMPLIMIENTO</t>
  </si>
  <si>
    <t>Factor de Riesgo</t>
  </si>
  <si>
    <t>Indicador</t>
  </si>
  <si>
    <t>Valor</t>
  </si>
  <si>
    <t>Puntos</t>
  </si>
  <si>
    <t>Experiencia de pago, de acuerdo a información de sociedad de información crediticia</t>
  </si>
  <si>
    <t>Cartera Vencida</t>
  </si>
  <si>
    <t>Puntaje Crediticio Total</t>
  </si>
  <si>
    <t>Probabilidad de Incumplimiento</t>
  </si>
  <si>
    <t>SEVERIDAD DE LA PÉRDIDA</t>
  </si>
  <si>
    <t>Derechos de cobro incluyendo derechos fiduciarios</t>
  </si>
  <si>
    <t>Bienes inmuebles comerciales y residenciales</t>
  </si>
  <si>
    <t>Bienes muebles</t>
  </si>
  <si>
    <t>Fideicomiso de Gtia y Admón con PF como Fuente de Pago</t>
  </si>
  <si>
    <t>Tipo de Posición</t>
  </si>
  <si>
    <t>Fideicomiso de Gtia y Admón con Ingresos Propios como Fuente de Pago</t>
  </si>
  <si>
    <t>Instrucciones Irrevocables / Contratos de Mandato de Gtia con PF / Ingresos Propios como FP</t>
  </si>
  <si>
    <t>Sin Garantía</t>
  </si>
  <si>
    <t>Severidad de la Pérdida</t>
  </si>
  <si>
    <t>Parte Cubierta</t>
  </si>
  <si>
    <t>Parte Expuesta</t>
  </si>
  <si>
    <t>EXPOSICIÓN AL INCUMPLIMIENTO</t>
  </si>
  <si>
    <t>Exposición al Incumplimiento</t>
  </si>
  <si>
    <t>MONTO DE LAS RESERVAS PREVENTIVAS A CONSTITUIR</t>
  </si>
  <si>
    <t>A-1</t>
  </si>
  <si>
    <t>A-2</t>
  </si>
  <si>
    <t>B-1</t>
  </si>
  <si>
    <t>B-2</t>
  </si>
  <si>
    <t>B-3</t>
  </si>
  <si>
    <t>C-1</t>
  </si>
  <si>
    <t>C-2</t>
  </si>
  <si>
    <t>D</t>
  </si>
  <si>
    <t>E</t>
  </si>
  <si>
    <t>CUANTITATIVO</t>
  </si>
  <si>
    <t>Puntaje Crediticio Cuantitativo</t>
  </si>
  <si>
    <t>Valor UDI</t>
  </si>
  <si>
    <t>Sin información</t>
  </si>
  <si>
    <t>Si no se cuenta la con información de alguna variable capturar ND</t>
  </si>
  <si>
    <t>Fecha EEFF</t>
  </si>
  <si>
    <t>Valor de la Garantía</t>
  </si>
  <si>
    <t>Garantía</t>
  </si>
  <si>
    <t>Monto de Recuperación Asociado</t>
  </si>
  <si>
    <t>C*</t>
  </si>
  <si>
    <t>C**</t>
  </si>
  <si>
    <t>SPi**</t>
  </si>
  <si>
    <t>CGR</t>
  </si>
  <si>
    <t>Nivel mínimo de cobertura admisible</t>
  </si>
  <si>
    <t>Severidad de la Pérdida mínima correspondiente a C**</t>
  </si>
  <si>
    <t>Caso 1 CGR &lt; C*</t>
  </si>
  <si>
    <t>Caso 2 CGR ≥ C**</t>
  </si>
  <si>
    <t>Caso 3 C*&lt;CGR &lt; C**</t>
  </si>
  <si>
    <t>Parte Cubierta
(C/C**)</t>
  </si>
  <si>
    <t>Parte Expuesta 
(EI - C/ C**)</t>
  </si>
  <si>
    <r>
      <t>(</t>
    </r>
    <r>
      <rPr>
        <b/>
        <i/>
        <sz val="9"/>
        <rFont val="Verdana"/>
        <family val="2"/>
      </rPr>
      <t>C*</t>
    </r>
    <r>
      <rPr>
        <b/>
        <sz val="9"/>
        <rFont val="Verdana"/>
        <family val="2"/>
      </rPr>
      <t>)</t>
    </r>
  </si>
  <si>
    <r>
      <t>(</t>
    </r>
    <r>
      <rPr>
        <b/>
        <i/>
        <sz val="9"/>
        <rFont val="Verdana"/>
        <family val="2"/>
      </rPr>
      <t>C**)</t>
    </r>
  </si>
  <si>
    <r>
      <t>(</t>
    </r>
    <r>
      <rPr>
        <b/>
        <i/>
        <sz val="9"/>
        <rFont val="Verdana"/>
        <family val="2"/>
      </rPr>
      <t>SP</t>
    </r>
    <r>
      <rPr>
        <b/>
        <i/>
        <vertAlign val="subscript"/>
        <sz val="9"/>
        <rFont val="Verdana"/>
        <family val="2"/>
      </rPr>
      <t>i</t>
    </r>
    <r>
      <rPr>
        <b/>
        <i/>
        <sz val="9"/>
        <rFont val="Verdana"/>
        <family val="2"/>
      </rPr>
      <t>**</t>
    </r>
    <r>
      <rPr>
        <b/>
        <sz val="9"/>
        <rFont val="Verdana"/>
        <family val="2"/>
      </rPr>
      <t>)</t>
    </r>
  </si>
  <si>
    <r>
      <t xml:space="preserve">Nivel de sobre cobertura para reconocer una menor </t>
    </r>
    <r>
      <rPr>
        <b/>
        <i/>
        <sz val="9"/>
        <rFont val="Verdana"/>
        <family val="2"/>
      </rPr>
      <t>SP</t>
    </r>
  </si>
  <si>
    <t>SP** expuesta</t>
  </si>
  <si>
    <t>SP** cubierta</t>
  </si>
  <si>
    <t>Cesion de derechos</t>
  </si>
  <si>
    <t>Hipotecaria</t>
  </si>
  <si>
    <t>Hipotecaria Industrial</t>
  </si>
  <si>
    <t>Unidad Industrial</t>
  </si>
  <si>
    <t>Unidad Comercial</t>
  </si>
  <si>
    <t>Prendaria</t>
  </si>
  <si>
    <t>Participaciones Federales</t>
  </si>
  <si>
    <t>Fiduciaria</t>
  </si>
  <si>
    <t>Liquida 100</t>
  </si>
  <si>
    <t>RIN</t>
  </si>
  <si>
    <t>GPO/SFH</t>
  </si>
  <si>
    <t>NAFIN</t>
  </si>
  <si>
    <t>FIRA</t>
  </si>
  <si>
    <t>He</t>
  </si>
  <si>
    <t>Hc</t>
  </si>
  <si>
    <t>Hfx</t>
  </si>
  <si>
    <t>Garantías No Financieras</t>
  </si>
  <si>
    <t>Garantías Financieras</t>
  </si>
  <si>
    <t>Misma Moneda Crédito y Gtía?</t>
  </si>
  <si>
    <t>C=(C1+C2+C3)</t>
  </si>
  <si>
    <t>Canasta Hc</t>
  </si>
  <si>
    <t>EI*  
(Parte Descubierta)</t>
  </si>
  <si>
    <t>EI-EI*
(Parte Cubierta)</t>
  </si>
  <si>
    <t>Total Reservas</t>
  </si>
  <si>
    <t>% Reserva</t>
  </si>
  <si>
    <t>Meses de atraso del Monto Exigible:</t>
  </si>
  <si>
    <t xml:space="preserve">                  Saldo Insoluto</t>
  </si>
  <si>
    <t xml:space="preserve">                  Monto Autorizado</t>
  </si>
  <si>
    <t xml:space="preserve">                  Tipo de línea</t>
  </si>
  <si>
    <t xml:space="preserve">                  Línea</t>
  </si>
  <si>
    <t>%</t>
  </si>
  <si>
    <t>Por Riesgos con G. Fondo</t>
  </si>
  <si>
    <t>Total</t>
  </si>
  <si>
    <t>TOTALES</t>
  </si>
  <si>
    <t>PORCENTAJE DE RESERVAS PREVENTIVAS</t>
  </si>
  <si>
    <t>GRADOS DE RIESGO</t>
  </si>
  <si>
    <t>COMERCIAL</t>
  </si>
  <si>
    <t>0 a 0.9</t>
  </si>
  <si>
    <t>0.901 a 1.5</t>
  </si>
  <si>
    <t>1.501 a 2.0</t>
  </si>
  <si>
    <t>2.001 a 2.50</t>
  </si>
  <si>
    <t>2.501 a 5.0</t>
  </si>
  <si>
    <t>5.001 a 10.0</t>
  </si>
  <si>
    <t>10.001 a 15.5</t>
  </si>
  <si>
    <t>15.501 a 45.0</t>
  </si>
  <si>
    <t>Mayor a 45.0</t>
  </si>
  <si>
    <t>Calificación</t>
  </si>
  <si>
    <t>Por Riesgos con G.NF, G.F y Sin G.</t>
  </si>
  <si>
    <t>Rango</t>
  </si>
  <si>
    <t>Ventas anuales (MN)</t>
  </si>
  <si>
    <t>Aforo</t>
  </si>
  <si>
    <t>Capturar sólo campos amarillos</t>
  </si>
  <si>
    <t>¿Cuenta con algún Crédito en Cartera Vencida mayor al 5% del total de su deuda? (B-6)</t>
  </si>
  <si>
    <t>Sector económico</t>
  </si>
  <si>
    <t>Agrícola</t>
  </si>
  <si>
    <t>Explotación, Energía y Construcción</t>
  </si>
  <si>
    <t>Manufactura</t>
  </si>
  <si>
    <t>Comercio</t>
  </si>
  <si>
    <t>Servicios</t>
  </si>
  <si>
    <t>Etapa de riesgo crediticio</t>
  </si>
  <si>
    <t>Etapa de riesgo</t>
  </si>
  <si>
    <t>Metodología de Calificación del DOF del 10 de diciembre de 2019</t>
  </si>
  <si>
    <t>Porcentaje de pagos en tiempo con entidades financieras bancarias en los últimos 12 meses.</t>
  </si>
  <si>
    <t>Sector agrícola</t>
  </si>
  <si>
    <t>Porcentaje de pagos en tiempo con entidades financieras no bancarias en los últimos 12 meses.</t>
  </si>
  <si>
    <r>
      <rPr>
        <i/>
        <u/>
        <sz val="9"/>
        <color theme="1"/>
        <rFont val="Arial"/>
        <family val="2"/>
      </rPr>
      <t>&gt;</t>
    </r>
    <r>
      <rPr>
        <i/>
        <sz val="9"/>
        <color theme="1"/>
        <rFont val="Arial"/>
        <family val="2"/>
      </rPr>
      <t xml:space="preserve"> 98%</t>
    </r>
  </si>
  <si>
    <r>
      <rPr>
        <i/>
        <u/>
        <sz val="8"/>
        <color theme="1"/>
        <rFont val="Arial"/>
        <family val="2"/>
      </rPr>
      <t>&gt;</t>
    </r>
    <r>
      <rPr>
        <i/>
        <sz val="8"/>
        <color theme="1"/>
        <rFont val="Arial"/>
        <family val="2"/>
      </rPr>
      <t xml:space="preserve"> 100%</t>
    </r>
  </si>
  <si>
    <t>Sector Energía, Explotación, Construcción</t>
  </si>
  <si>
    <r>
      <rPr>
        <i/>
        <u/>
        <sz val="9"/>
        <color theme="1"/>
        <rFont val="Arial"/>
        <family val="2"/>
      </rPr>
      <t>&gt;</t>
    </r>
    <r>
      <rPr>
        <i/>
        <sz val="9"/>
        <color theme="1"/>
        <rFont val="Arial"/>
        <family val="2"/>
      </rPr>
      <t xml:space="preserve"> 3</t>
    </r>
  </si>
  <si>
    <t>Experiencia de pago con la institución</t>
  </si>
  <si>
    <t>Porcentaje de pagos en tiempo con entidades financieras no bancarias en los últimos 12 meses [6-NBK12_PCT_PROMT]</t>
  </si>
  <si>
    <t>ND</t>
  </si>
  <si>
    <t>Información para créditos en etapa 2</t>
  </si>
  <si>
    <t>Tipo de crédito</t>
  </si>
  <si>
    <t>Tasa de interés</t>
  </si>
  <si>
    <t>Plazo</t>
  </si>
  <si>
    <t>Pago</t>
  </si>
  <si>
    <t>Estimación de reservas</t>
  </si>
  <si>
    <t xml:space="preserve">                  Tipo de Corporativo</t>
  </si>
  <si>
    <t>Factor de riesgo experiencia de pago, de acuerdo a información de sociedad de información crediticia</t>
  </si>
  <si>
    <r>
      <rPr>
        <i/>
        <u/>
        <sz val="9"/>
        <color theme="1"/>
        <rFont val="Arial"/>
        <family val="2"/>
      </rPr>
      <t>&gt;</t>
    </r>
    <r>
      <rPr>
        <i/>
        <sz val="9"/>
        <color theme="1"/>
        <rFont val="Arial"/>
        <family val="2"/>
      </rPr>
      <t xml:space="preserve"> 100%</t>
    </r>
  </si>
  <si>
    <t>Factor de riesgo experiencia de pago con la Institución</t>
  </si>
  <si>
    <t>Máximo número de atrasos presentado en los últimos 7 meses considerando el mes de calificación</t>
  </si>
  <si>
    <t>Porcentaje de saldo sin días de atraso con la Institución en los últimos 4 meses considerando el mes de calificación</t>
  </si>
  <si>
    <r>
      <rPr>
        <i/>
        <u/>
        <sz val="9"/>
        <color theme="1"/>
        <rFont val="Arial"/>
        <family val="2"/>
      </rPr>
      <t>&gt;</t>
    </r>
    <r>
      <rPr>
        <i/>
        <sz val="9"/>
        <color theme="1"/>
        <rFont val="Arial"/>
        <family val="2"/>
      </rPr>
      <t xml:space="preserve"> 96%</t>
    </r>
  </si>
  <si>
    <t>Rendimiento sobre capital (ROE)</t>
  </si>
  <si>
    <t>Ambos insumos negativos</t>
  </si>
  <si>
    <t>Negativos</t>
  </si>
  <si>
    <r>
      <rPr>
        <i/>
        <u/>
        <sz val="9"/>
        <color theme="1"/>
        <rFont val="Arial"/>
        <family val="2"/>
      </rPr>
      <t>&gt;</t>
    </r>
    <r>
      <rPr>
        <i/>
        <sz val="9"/>
        <color theme="1"/>
        <rFont val="Arial"/>
        <family val="2"/>
      </rPr>
      <t xml:space="preserve"> 13.4%</t>
    </r>
  </si>
  <si>
    <t>Periodo de cobro a deudores</t>
  </si>
  <si>
    <r>
      <rPr>
        <i/>
        <u/>
        <sz val="9"/>
        <color theme="1"/>
        <rFont val="Arial"/>
        <family val="2"/>
      </rPr>
      <t>&gt;</t>
    </r>
    <r>
      <rPr>
        <i/>
        <sz val="9"/>
        <color theme="1"/>
        <rFont val="Arial"/>
        <family val="2"/>
      </rPr>
      <t xml:space="preserve"> 91</t>
    </r>
  </si>
  <si>
    <t>Razón de efectivo a activo total</t>
  </si>
  <si>
    <r>
      <rPr>
        <i/>
        <u/>
        <sz val="9"/>
        <color theme="1"/>
        <rFont val="Arial"/>
        <family val="2"/>
      </rPr>
      <t>&gt;</t>
    </r>
    <r>
      <rPr>
        <i/>
        <sz val="9"/>
        <color theme="1"/>
        <rFont val="Arial"/>
        <family val="2"/>
      </rPr>
      <t xml:space="preserve"> 2.2%</t>
    </r>
  </si>
  <si>
    <t>Razón de cobertura de interés</t>
  </si>
  <si>
    <r>
      <rPr>
        <u/>
        <sz val="9"/>
        <color theme="1"/>
        <rFont val="Arial"/>
        <family val="2"/>
      </rPr>
      <t>&gt;</t>
    </r>
    <r>
      <rPr>
        <i/>
        <sz val="9"/>
        <color theme="1"/>
        <rFont val="Arial"/>
        <family val="2"/>
      </rPr>
      <t xml:space="preserve"> 3.5</t>
    </r>
  </si>
  <si>
    <t>Razón del efectivo</t>
  </si>
  <si>
    <r>
      <rPr>
        <i/>
        <u/>
        <sz val="9"/>
        <color theme="1"/>
        <rFont val="Arial"/>
        <family val="2"/>
      </rPr>
      <t>&gt;</t>
    </r>
    <r>
      <rPr>
        <i/>
        <sz val="9"/>
        <color theme="1"/>
        <rFont val="Arial"/>
        <family val="2"/>
      </rPr>
      <t xml:space="preserve"> 1.9%</t>
    </r>
  </si>
  <si>
    <t>Razón de uso de activos fijos</t>
  </si>
  <si>
    <r>
      <rPr>
        <i/>
        <u/>
        <sz val="9"/>
        <color theme="1"/>
        <rFont val="Arial"/>
        <family val="2"/>
      </rPr>
      <t>&gt;</t>
    </r>
    <r>
      <rPr>
        <i/>
        <sz val="9"/>
        <color theme="1"/>
        <rFont val="Arial"/>
        <family val="2"/>
      </rPr>
      <t xml:space="preserve"> 26.60</t>
    </r>
  </si>
  <si>
    <r>
      <rPr>
        <u/>
        <sz val="9"/>
        <color theme="1"/>
        <rFont val="Arial"/>
        <family val="2"/>
      </rPr>
      <t>&gt;</t>
    </r>
    <r>
      <rPr>
        <i/>
        <sz val="9"/>
        <color theme="1"/>
        <rFont val="Arial"/>
        <family val="2"/>
      </rPr>
      <t xml:space="preserve"> 1.60</t>
    </r>
  </si>
  <si>
    <t>Razón de ventas a capital operativo empleado</t>
  </si>
  <si>
    <t>&gt; 2.90</t>
  </si>
  <si>
    <t>Razón de costo de financiamiento a ventas</t>
  </si>
  <si>
    <r>
      <rPr>
        <i/>
        <u/>
        <sz val="9"/>
        <color theme="1"/>
        <rFont val="Arial"/>
        <family val="2"/>
      </rPr>
      <t>&gt;</t>
    </r>
    <r>
      <rPr>
        <i/>
        <sz val="9"/>
        <color theme="1"/>
        <rFont val="Arial"/>
        <family val="2"/>
      </rPr>
      <t xml:space="preserve"> 4.5%</t>
    </r>
  </si>
  <si>
    <r>
      <rPr>
        <u/>
        <sz val="9"/>
        <color theme="1"/>
        <rFont val="Arial"/>
        <family val="2"/>
      </rPr>
      <t>&gt;</t>
    </r>
    <r>
      <rPr>
        <i/>
        <sz val="9"/>
        <color theme="1"/>
        <rFont val="Arial"/>
        <family val="2"/>
      </rPr>
      <t xml:space="preserve"> 200</t>
    </r>
  </si>
  <si>
    <r>
      <rPr>
        <i/>
        <u/>
        <sz val="9"/>
        <color theme="1"/>
        <rFont val="Arial"/>
        <family val="2"/>
      </rPr>
      <t>&gt;</t>
    </r>
    <r>
      <rPr>
        <i/>
        <sz val="9"/>
        <color theme="1"/>
        <rFont val="Arial"/>
        <family val="2"/>
      </rPr>
      <t xml:space="preserve"> 7.7%</t>
    </r>
  </si>
  <si>
    <t>Rotación de activos totales</t>
  </si>
  <si>
    <r>
      <rPr>
        <i/>
        <u/>
        <sz val="9"/>
        <color theme="1"/>
        <rFont val="Arial"/>
        <family val="2"/>
      </rPr>
      <t>&gt;</t>
    </r>
    <r>
      <rPr>
        <i/>
        <sz val="9"/>
        <color theme="1"/>
        <rFont val="Arial"/>
        <family val="2"/>
      </rPr>
      <t xml:space="preserve"> 1.57</t>
    </r>
  </si>
  <si>
    <r>
      <rPr>
        <i/>
        <u/>
        <sz val="9"/>
        <color theme="1"/>
        <rFont val="Arial"/>
        <family val="2"/>
      </rPr>
      <t>&gt;</t>
    </r>
    <r>
      <rPr>
        <i/>
        <sz val="9"/>
        <color theme="1"/>
        <rFont val="Arial"/>
        <family val="2"/>
      </rPr>
      <t xml:space="preserve"> 4.8%</t>
    </r>
  </si>
  <si>
    <r>
      <rPr>
        <i/>
        <u/>
        <sz val="9"/>
        <color theme="1"/>
        <rFont val="Arial"/>
        <family val="2"/>
      </rPr>
      <t>&gt;</t>
    </r>
    <r>
      <rPr>
        <i/>
        <sz val="9"/>
        <color theme="1"/>
        <rFont val="Arial"/>
        <family val="2"/>
      </rPr>
      <t xml:space="preserve"> 431</t>
    </r>
  </si>
  <si>
    <r>
      <rPr>
        <i/>
        <u/>
        <sz val="9"/>
        <color theme="1"/>
        <rFont val="Arial"/>
        <family val="2"/>
      </rPr>
      <t>&gt;</t>
    </r>
    <r>
      <rPr>
        <i/>
        <sz val="9"/>
        <color theme="1"/>
        <rFont val="Arial"/>
        <family val="2"/>
      </rPr>
      <t xml:space="preserve"> 1.6%</t>
    </r>
  </si>
  <si>
    <t>Razón de capital de trabajo a ventas</t>
  </si>
  <si>
    <r>
      <rPr>
        <i/>
        <u/>
        <sz val="9"/>
        <color theme="1"/>
        <rFont val="Arial"/>
        <family val="2"/>
      </rPr>
      <t>&gt;</t>
    </r>
    <r>
      <rPr>
        <i/>
        <sz val="9"/>
        <color theme="1"/>
        <rFont val="Arial"/>
        <family val="2"/>
      </rPr>
      <t xml:space="preserve"> 25.0%</t>
    </r>
  </si>
  <si>
    <t>Margen bruto de utilidad</t>
  </si>
  <si>
    <r>
      <rPr>
        <i/>
        <u/>
        <sz val="9"/>
        <color theme="1"/>
        <rFont val="Arial"/>
        <family val="2"/>
      </rPr>
      <t>&gt;</t>
    </r>
    <r>
      <rPr>
        <i/>
        <sz val="9"/>
        <color theme="1"/>
        <rFont val="Arial"/>
        <family val="2"/>
      </rPr>
      <t xml:space="preserve"> 57.0%</t>
    </r>
  </si>
  <si>
    <r>
      <rPr>
        <i/>
        <u/>
        <sz val="9"/>
        <color theme="1"/>
        <rFont val="Arial"/>
        <family val="2"/>
      </rPr>
      <t>&gt;</t>
    </r>
    <r>
      <rPr>
        <i/>
        <sz val="9"/>
        <color theme="1"/>
        <rFont val="Arial"/>
        <family val="2"/>
      </rPr>
      <t xml:space="preserve"> 23.4</t>
    </r>
  </si>
  <si>
    <t>Factor de riesgo financiero</t>
  </si>
  <si>
    <t>&gt; 7.01</t>
  </si>
  <si>
    <t>Estabilidad económica</t>
  </si>
  <si>
    <t>Intensidad y características de la competencia</t>
  </si>
  <si>
    <t>Las características reflejan debilidades importantes en las perspectivas de crecimiento y en los indicadores financieros clave, los márgenes de utilidad y la competitividad. Se registran inestabilidades extremas en la industria basadas en cambios tecnológicos, regulaciones fiscales y laborales. El ambiente competitivo es intensivo entre múltiples competidores peleando por una limitada demanda o características monopolísticas con barreras de entrada al mercado extremadamente altas.</t>
  </si>
  <si>
    <t>Las características de la industria reflejan tendencias mixtas en crecimiento y en los indicadores financieros clave, los márgenes de utilidad y la competitividad. La industria es considerada con cierto grado de sensibilidad a los cambios en la tecnología.</t>
  </si>
  <si>
    <t>Las características de la industria reflejan crecimiento y desempeño sobresaliente y estable, sus indicadores financieros clave son crecientes y tienen poca sensibilidad.</t>
  </si>
  <si>
    <t>ND - Sin Información.</t>
  </si>
  <si>
    <t>Menos del 15% de las ventas totales anuales de la empresa están concentradas en los tres principales clientes al cierre del ejercicio anual.</t>
  </si>
  <si>
    <t>Entre 15% y 35% de las ventas totales anuales de la empresa están concentradas en los tres principales clientes al cierre del ejercicio anual.</t>
  </si>
  <si>
    <t>Más del 35% de las ventas totales anuales de la empresa están concentradas en los tres principales clientes al cierre del ejercicio anual.</t>
  </si>
  <si>
    <t>Clientes</t>
  </si>
  <si>
    <t>Estados financieros auditados</t>
  </si>
  <si>
    <t>Sin información.</t>
  </si>
  <si>
    <t>Estados financieros auditados durante los 2 últimos años.</t>
  </si>
  <si>
    <t>Estados financieros auditados durante el último año o no auditados.</t>
  </si>
  <si>
    <t>ND - Sin información.</t>
  </si>
  <si>
    <t>La estructura organizacional está alineada con los objetivos del negocio y el entorno de control interno es sólido.</t>
  </si>
  <si>
    <t>La estructura organizacional se encuentra de alguna manera inconsistente con respecto a los actuales objetivos del negocio. Se observan varios cambios organizacionales que han tenido ciertos impactos en la capacidad del deudor para operar y entregar sus productos de forma coordinada y eficiente.</t>
  </si>
  <si>
    <t>Existen claras debilidades en la estructura organizacional que ponen en alto riesgo la capacidad de generar flujos de efectivo sostenible para enfrentar sus obligaciones de deuda.</t>
  </si>
  <si>
    <t>Estructura organizacional</t>
  </si>
  <si>
    <t>Un solo grupo o persona tiene más del 33% de la tenencia accionaria.</t>
  </si>
  <si>
    <t>Un solo grupo o persona tiene entre el 10% y el 33% de la tenencia accionaria.</t>
  </si>
  <si>
    <t>Un solo grupo o persona tiene menos del 10% de la tenencia accionaria.</t>
  </si>
  <si>
    <t>Composición accionaria</t>
  </si>
  <si>
    <t>Financiero</t>
  </si>
  <si>
    <t>Periodo de pago a acreedores</t>
  </si>
  <si>
    <t>CUALITATIVO</t>
  </si>
  <si>
    <t>Variables cualitativas</t>
  </si>
  <si>
    <t>Intensidad y características de la competencia respecto de la industria en que se desenvuelven</t>
  </si>
  <si>
    <t>Puntaje Crediticio Cualitativo</t>
  </si>
  <si>
    <t xml:space="preserve">Porcentaje de pagos en tiempo con entidades financieras bancarias en los últimos 12 meses [5-BK12_PCT_PROMT] </t>
  </si>
  <si>
    <r>
      <t xml:space="preserve">Rendimiento sobre capital (ROE) | </t>
    </r>
    <r>
      <rPr>
        <b/>
        <i/>
        <sz val="9"/>
        <rFont val="Calibri"/>
        <family val="2"/>
      </rPr>
      <t>En el caso que ambos insumos de la operación sean negativos, poner "</t>
    </r>
    <r>
      <rPr>
        <i/>
        <u/>
        <sz val="9"/>
        <rFont val="Calibri"/>
        <family val="2"/>
      </rPr>
      <t>NEGATIVOS</t>
    </r>
    <r>
      <rPr>
        <b/>
        <i/>
        <sz val="9"/>
        <rFont val="Calibri"/>
        <family val="2"/>
      </rPr>
      <t>"</t>
    </r>
  </si>
  <si>
    <t xml:space="preserve">                                                  Organismo descentralizado federal, estatal o municipal y partidos políticos.</t>
  </si>
  <si>
    <t>&gt; 7.0</t>
  </si>
  <si>
    <t>≤ 7.0</t>
  </si>
  <si>
    <r>
      <t xml:space="preserve">¿Cuántos días de atraso tiene el crédito? | </t>
    </r>
    <r>
      <rPr>
        <b/>
        <i/>
        <sz val="9"/>
        <rFont val="Calibri"/>
        <family val="2"/>
      </rPr>
      <t>Si no tiene atraso dejar vacío o capturar 0</t>
    </r>
  </si>
  <si>
    <r>
      <t xml:space="preserve">Calculadora para Reservas
•  PERSONAS MORALES (DISTINTAS A ENTIDADES FEDERATIVAS, MUNICIPIOS Y ENTIDADES FINANCIERAS) Y PERSONAS FÍSICAS CON ACTIVIDAD EMPRESARIAL,
CON INGRESOS NETOS O VENTAS NETAS ANUALES </t>
    </r>
    <r>
      <rPr>
        <b/>
        <sz val="11"/>
        <color rgb="FF00B050"/>
        <rFont val="Calibri"/>
        <family val="2"/>
        <scheme val="minor"/>
      </rPr>
      <t>MAYORES O IGUALES</t>
    </r>
    <r>
      <rPr>
        <b/>
        <sz val="11"/>
        <color theme="1"/>
        <rFont val="Calibri"/>
        <family val="2"/>
        <scheme val="minor"/>
      </rPr>
      <t xml:space="preserve"> AL EQUIVALENTE EN MONEDA NACIONAL A 14 MILLONES DE UDIs</t>
    </r>
  </si>
  <si>
    <t>¿Se cuenta con garantías?</t>
  </si>
  <si>
    <t>Sector manufacturas</t>
  </si>
  <si>
    <t>Sector comercio</t>
  </si>
  <si>
    <t>Sector servicios</t>
  </si>
  <si>
    <t>Sector</t>
  </si>
  <si>
    <t>Factor</t>
  </si>
  <si>
    <t>Mínimo</t>
  </si>
  <si>
    <t>Máximo</t>
  </si>
  <si>
    <t>proactivo</t>
  </si>
  <si>
    <t>Revocable</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</si>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</sst>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quot;* #,##0.00_-;\-&quot;$&quot;* #,##0.00_-;_-&quot;$&quot;* &quot;-&quot;??_-;_-@_-"/>
    <numFmt numFmtId="165" formatCode="_-* #,##0_-;\-* #,##0_-;_-* &quot;-&quot;??_-;_-@_-"/>
    <numFmt numFmtId="166" formatCode="_-&quot;$&quot;* #,##0_-;\-&quot;$&quot;* #,##0_-;_-&quot;$&quot;* &quot;-&quot;??_-;_-@_-"/>
    <numFmt numFmtId="167" formatCode="_-* #,##0.000000_-;\-* #,##0.000000_-;_-* &quot;-&quot;??_-;_-@_-"/>
    <numFmt numFmtId="168" formatCode="&quot;$&quot;#,##0.00"/>
    <numFmt numFmtId="169" formatCode="0.0%"/>
    <numFmt numFmtId="170" formatCode="0.0"/>
    <numFmt numFmtId="171" formatCode="_-* #,##0.000000_-;\-* #,##0.000000_-;_-* &quot;-&quot;??????_-;_-@_-"/>
  </numFmts>
  <fonts count="63">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0"/>
      <color theme="0" tint="-0.34998626667073579"/>
      <name val="Calibri"/>
      <family val="2"/>
      <scheme val="minor"/>
    </font>
    <font>
      <sz val="11"/>
      <color indexed="8"/>
      <name val="Calibri"/>
      <family val="2"/>
    </font>
    <font>
      <b/>
      <sz val="10"/>
      <name val="Calibri"/>
      <family val="2"/>
    </font>
    <font>
      <b/>
      <sz val="10"/>
      <color indexed="8"/>
      <name val="Calibri"/>
      <family val="2"/>
    </font>
    <font>
      <b/>
      <sz val="12"/>
      <color theme="0"/>
      <name val="Calibri"/>
      <family val="2"/>
      <scheme val="minor"/>
    </font>
    <font>
      <b/>
      <sz val="10"/>
      <color theme="0"/>
      <name val="Calibri"/>
      <family val="2"/>
      <scheme val="minor"/>
    </font>
    <font>
      <b/>
      <sz val="10"/>
      <color theme="0"/>
      <name val="Calibri"/>
      <family val="2"/>
    </font>
    <font>
      <b/>
      <sz val="10"/>
      <color theme="3" tint="0.39997558519241921"/>
      <name val="Calibri"/>
      <family val="2"/>
      <scheme val="minor"/>
    </font>
    <font>
      <b/>
      <sz val="10"/>
      <color theme="3" tint="0.39997558519241921"/>
      <name val="Calibri"/>
      <family val="2"/>
    </font>
    <font>
      <b/>
      <sz val="12"/>
      <name val="Calibri"/>
      <family val="2"/>
    </font>
    <font>
      <b/>
      <sz val="10"/>
      <color rgb="FFC00000"/>
      <name val="Calibri"/>
      <family val="2"/>
    </font>
    <font>
      <b/>
      <sz val="10"/>
      <color theme="1" tint="0.499984740745262"/>
      <name val="Calibri"/>
      <family val="2"/>
      <scheme val="minor"/>
    </font>
    <font>
      <sz val="10"/>
      <color theme="1"/>
      <name val="Calibri"/>
      <family val="2"/>
      <scheme val="minor"/>
    </font>
    <font>
      <i/>
      <sz val="8"/>
      <color theme="3" tint="0.39997558519241921"/>
      <name val="Calibri"/>
      <family val="2"/>
    </font>
    <font>
      <sz val="8"/>
      <color theme="3" tint="0.39997558519241921"/>
      <name val="Calibri"/>
      <family val="2"/>
    </font>
    <font>
      <sz val="8"/>
      <color theme="1" tint="0.499984740745262"/>
      <name val="Calibri"/>
      <family val="2"/>
      <scheme val="minor"/>
    </font>
    <font>
      <b/>
      <sz val="12"/>
      <color theme="1"/>
      <name val="Calibri"/>
      <family val="2"/>
      <scheme val="minor"/>
    </font>
    <font>
      <sz val="8"/>
      <color theme="1"/>
      <name val="Calibri"/>
      <family val="2"/>
    </font>
    <font>
      <b/>
      <sz val="10"/>
      <color theme="0" tint="-0.34998626667073579"/>
      <name val="Calibri"/>
      <family val="2"/>
    </font>
    <font>
      <b/>
      <sz val="10"/>
      <color rgb="FFFF0000"/>
      <name val="Calibri"/>
      <family val="2"/>
      <scheme val="minor"/>
    </font>
    <font>
      <b/>
      <sz val="9"/>
      <color theme="0" tint="-0.34998626667073579"/>
      <name val="Calibri"/>
      <family val="2"/>
      <scheme val="minor"/>
    </font>
    <font>
      <b/>
      <sz val="9"/>
      <color theme="1"/>
      <name val="Calibri"/>
      <family val="2"/>
      <scheme val="minor"/>
    </font>
    <font>
      <b/>
      <sz val="9"/>
      <name val="Verdana"/>
      <family val="2"/>
    </font>
    <font>
      <b/>
      <i/>
      <sz val="9"/>
      <name val="Verdana"/>
      <family val="2"/>
    </font>
    <font>
      <b/>
      <i/>
      <vertAlign val="subscript"/>
      <sz val="9"/>
      <name val="Verdana"/>
      <family val="2"/>
    </font>
    <font>
      <b/>
      <i/>
      <sz val="9"/>
      <color theme="1"/>
      <name val="Adobe Caslon Pro"/>
      <family val="1"/>
    </font>
    <font>
      <b/>
      <sz val="9"/>
      <color theme="0"/>
      <name val="Calibri"/>
      <family val="2"/>
      <scheme val="minor"/>
    </font>
    <font>
      <sz val="10"/>
      <color indexed="8"/>
      <name val="Calibri"/>
      <family val="2"/>
    </font>
    <font>
      <sz val="8"/>
      <color indexed="81"/>
      <name val="Tahoma"/>
      <family val="2"/>
    </font>
    <font>
      <b/>
      <sz val="8"/>
      <color indexed="81"/>
      <name val="Tahoma"/>
      <family val="2"/>
    </font>
    <font>
      <b/>
      <sz val="12"/>
      <name val="Calibri"/>
      <family val="2"/>
      <scheme val="minor"/>
    </font>
    <font>
      <b/>
      <sz val="11"/>
      <name val="Calibri"/>
      <family val="2"/>
      <scheme val="minor"/>
    </font>
    <font>
      <b/>
      <sz val="10"/>
      <name val="Calibri"/>
      <family val="2"/>
      <scheme val="minor"/>
    </font>
    <font>
      <b/>
      <sz val="11"/>
      <name val="Calibri"/>
      <family val="2"/>
    </font>
    <font>
      <b/>
      <sz val="9"/>
      <color theme="1"/>
      <name val="Arial"/>
      <family val="2"/>
    </font>
    <font>
      <sz val="9"/>
      <color theme="1"/>
      <name val="Arial"/>
      <family val="2"/>
    </font>
    <font>
      <b/>
      <sz val="8"/>
      <color theme="1"/>
      <name val="Calibri"/>
      <family val="2"/>
      <scheme val="minor"/>
    </font>
    <font>
      <b/>
      <i/>
      <sz val="9"/>
      <color theme="1"/>
      <name val="Arial"/>
      <family val="2"/>
    </font>
    <font>
      <i/>
      <sz val="9"/>
      <color theme="1"/>
      <name val="Arial"/>
      <family val="2"/>
    </font>
    <font>
      <i/>
      <u/>
      <sz val="9"/>
      <color theme="1"/>
      <name val="Arial"/>
      <family val="2"/>
    </font>
    <font>
      <sz val="11"/>
      <color rgb="FF000000"/>
      <name val="Calibri"/>
      <family val="2"/>
    </font>
    <font>
      <sz val="9"/>
      <color indexed="81"/>
      <name val="Tahoma"/>
      <family val="2"/>
    </font>
    <font>
      <sz val="8"/>
      <color rgb="FF000000"/>
      <name val="Montserrat"/>
    </font>
    <font>
      <sz val="11"/>
      <color theme="1"/>
      <name val="Arial"/>
      <family val="2"/>
    </font>
    <font>
      <i/>
      <sz val="8"/>
      <color theme="1"/>
      <name val="Arial"/>
      <family val="2"/>
    </font>
    <font>
      <i/>
      <u/>
      <sz val="8"/>
      <color theme="1"/>
      <name val="Arial"/>
      <family val="2"/>
    </font>
    <font>
      <b/>
      <sz val="11"/>
      <color rgb="FFFF0000"/>
      <name val="Calibri"/>
      <family val="2"/>
      <scheme val="minor"/>
    </font>
    <font>
      <b/>
      <u/>
      <sz val="10"/>
      <name val="Calibri"/>
      <family val="2"/>
      <scheme val="minor"/>
    </font>
    <font>
      <b/>
      <sz val="9"/>
      <color indexed="81"/>
      <name val="Tahoma"/>
      <family val="2"/>
    </font>
    <font>
      <u/>
      <sz val="9"/>
      <color indexed="81"/>
      <name val="Tahoma"/>
      <family val="2"/>
    </font>
    <font>
      <b/>
      <u/>
      <sz val="12"/>
      <color theme="1"/>
      <name val="Calibri"/>
      <family val="2"/>
      <scheme val="minor"/>
    </font>
    <font>
      <b/>
      <u/>
      <sz val="11"/>
      <name val="Calibri"/>
      <family val="2"/>
      <scheme val="minor"/>
    </font>
    <font>
      <b/>
      <sz val="8"/>
      <color theme="1"/>
      <name val="Arial"/>
      <family val="2"/>
    </font>
    <font>
      <i/>
      <sz val="9"/>
      <color rgb="FF000000"/>
      <name val="Arial"/>
      <family val="2"/>
    </font>
    <font>
      <u/>
      <sz val="9"/>
      <color theme="1"/>
      <name val="Arial"/>
      <family val="2"/>
    </font>
    <font>
      <b/>
      <i/>
      <sz val="9"/>
      <name val="Calibri"/>
      <family val="2"/>
    </font>
    <font>
      <u/>
      <sz val="8"/>
      <color indexed="81"/>
      <name val="Tahoma"/>
      <family val="2"/>
    </font>
    <font>
      <i/>
      <u/>
      <sz val="9"/>
      <name val="Calibri"/>
      <family val="2"/>
    </font>
    <font>
      <b/>
      <sz val="11"/>
      <color rgb="FF00B05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2F2F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79998168889431442"/>
        <bgColor indexed="64"/>
      </patternFill>
    </fill>
  </fills>
  <borders count="141">
    <border>
      <left/>
      <right/>
      <top/>
      <bottom/>
      <diagonal/>
    </border>
    <border>
      <left style="double">
        <color theme="1" tint="0.499984740745262"/>
      </left>
      <right/>
      <top style="double">
        <color theme="1" tint="0.499984740745262"/>
      </top>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double">
        <color theme="1" tint="0.499984740745262"/>
      </left>
      <right/>
      <top/>
      <bottom/>
      <diagonal/>
    </border>
    <border>
      <left/>
      <right style="double">
        <color theme="1" tint="0.499984740745262"/>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style="thin">
        <color theme="0" tint="-0.24994659260841701"/>
      </left>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6795556505021"/>
      </left>
      <right/>
      <top style="thin">
        <color theme="0" tint="-0.14996795556505021"/>
      </top>
      <bottom style="thin">
        <color theme="0" tint="-0.14996795556505021"/>
      </bottom>
      <diagonal/>
    </border>
    <border>
      <left style="double">
        <color theme="1" tint="0.499984740745262"/>
      </left>
      <right/>
      <top/>
      <bottom style="double">
        <color theme="1" tint="0.499984740745262"/>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0"/>
      </left>
      <right style="thin">
        <color theme="0"/>
      </right>
      <top/>
      <bottom style="thin">
        <color theme="0" tint="-0.24994659260841701"/>
      </bottom>
      <diagonal/>
    </border>
    <border>
      <left style="thin">
        <color theme="0"/>
      </left>
      <right/>
      <top/>
      <bottom style="thin">
        <color theme="0" tint="-0.24994659260841701"/>
      </bottom>
      <diagonal/>
    </border>
    <border>
      <left style="thin">
        <color theme="0" tint="-0.1499374370555742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14996795556505021"/>
      </right>
      <top/>
      <bottom style="thin">
        <color theme="0" tint="-0.2499465926084170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thin">
        <color theme="0"/>
      </left>
      <right style="thin">
        <color theme="0" tint="-0.24994659260841701"/>
      </right>
      <top/>
      <bottom style="thin">
        <color theme="0" tint="-0.24994659260841701"/>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right style="medium">
        <color indexed="64"/>
      </right>
      <top style="medium">
        <color indexed="64"/>
      </top>
      <bottom style="thick">
        <color indexed="64"/>
      </bottom>
      <diagonal/>
    </border>
    <border>
      <left/>
      <right style="thick">
        <color indexed="64"/>
      </right>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diagonal/>
    </border>
    <border>
      <left/>
      <right style="thin">
        <color theme="0" tint="-0.249977111117893"/>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ck">
        <color indexed="64"/>
      </right>
      <top style="thin">
        <color indexed="64"/>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bottom style="thin">
        <color theme="0" tint="-0.249977111117893"/>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style="double">
        <color theme="5" tint="0.39997558519241921"/>
      </left>
      <right/>
      <top style="double">
        <color theme="5" tint="0.39997558519241921"/>
      </top>
      <bottom/>
      <diagonal/>
    </border>
    <border>
      <left/>
      <right/>
      <top style="double">
        <color theme="5" tint="0.39997558519241921"/>
      </top>
      <bottom/>
      <diagonal/>
    </border>
    <border>
      <left/>
      <right style="double">
        <color theme="5" tint="0.39997558519241921"/>
      </right>
      <top style="double">
        <color theme="5" tint="0.39997558519241921"/>
      </top>
      <bottom/>
      <diagonal/>
    </border>
    <border>
      <left style="double">
        <color theme="5" tint="0.39997558519241921"/>
      </left>
      <right/>
      <top/>
      <bottom/>
      <diagonal/>
    </border>
    <border>
      <left/>
      <right style="double">
        <color theme="5" tint="0.39997558519241921"/>
      </right>
      <top/>
      <bottom/>
      <diagonal/>
    </border>
    <border>
      <left style="double">
        <color theme="5" tint="0.39997558519241921"/>
      </left>
      <right/>
      <top/>
      <bottom style="double">
        <color theme="5" tint="0.39997558519241921"/>
      </bottom>
      <diagonal/>
    </border>
    <border>
      <left/>
      <right/>
      <top/>
      <bottom style="double">
        <color theme="5" tint="0.39997558519241921"/>
      </bottom>
      <diagonal/>
    </border>
    <border>
      <left/>
      <right style="double">
        <color theme="5" tint="0.39997558519241921"/>
      </right>
      <top/>
      <bottom style="double">
        <color theme="5" tint="0.39997558519241921"/>
      </bottom>
      <diagonal/>
    </border>
    <border>
      <left style="double">
        <color theme="5" tint="0.39997558519241921"/>
      </left>
      <right style="double">
        <color theme="5" tint="0.39997558519241921"/>
      </right>
      <top style="double">
        <color theme="5" tint="0.39997558519241921"/>
      </top>
      <bottom/>
      <diagonal/>
    </border>
    <border>
      <left style="double">
        <color theme="5" tint="0.39997558519241921"/>
      </left>
      <right style="double">
        <color theme="5" tint="0.39997558519241921"/>
      </right>
      <top/>
      <bottom/>
      <diagonal/>
    </border>
    <border>
      <left style="double">
        <color theme="5" tint="0.39997558519241921"/>
      </left>
      <right style="double">
        <color theme="5" tint="0.39997558519241921"/>
      </right>
      <top/>
      <bottom style="double">
        <color theme="5" tint="0.39997558519241921"/>
      </bottom>
      <diagonal/>
    </border>
    <border>
      <left style="double">
        <color theme="0" tint="-0.249977111117893"/>
      </left>
      <right/>
      <top style="thin">
        <color theme="0" tint="-0.249977111117893"/>
      </top>
      <bottom style="thin">
        <color theme="0" tint="-0.249977111117893"/>
      </bottom>
      <diagonal/>
    </border>
    <border>
      <left style="double">
        <color theme="0" tint="-0.249977111117893"/>
      </left>
      <right/>
      <top style="thin">
        <color theme="0" tint="-0.249977111117893"/>
      </top>
      <bottom style="double">
        <color theme="0" tint="-0.249977111117893"/>
      </bottom>
      <diagonal/>
    </border>
    <border>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thin">
        <color theme="0" tint="-0.14996795556505021"/>
      </left>
      <right/>
      <top/>
      <bottom style="double">
        <color theme="0" tint="-0.249977111117893"/>
      </bottom>
      <diagonal/>
    </border>
    <border>
      <left/>
      <right style="double">
        <color theme="0" tint="-0.249977111117893"/>
      </right>
      <top/>
      <bottom style="thin">
        <color theme="0" tint="-0.14999847407452621"/>
      </bottom>
      <diagonal/>
    </border>
    <border>
      <left/>
      <right/>
      <top/>
      <bottom style="thin">
        <color theme="0" tint="-0.14999847407452621"/>
      </bottom>
      <diagonal/>
    </border>
    <border>
      <left style="thin">
        <color theme="0" tint="-0.14996795556505021"/>
      </left>
      <right/>
      <top style="thin">
        <color theme="0" tint="-0.14999847407452621"/>
      </top>
      <bottom style="thin">
        <color theme="0" tint="-0.14999847407452621"/>
      </bottom>
      <diagonal/>
    </border>
    <border>
      <left/>
      <right style="double">
        <color theme="0" tint="-0.249977111117893"/>
      </right>
      <top style="thin">
        <color theme="0" tint="-0.14999847407452621"/>
      </top>
      <bottom style="thin">
        <color theme="0" tint="-0.149998474074526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diagonal/>
    </border>
    <border>
      <left/>
      <right style="medium">
        <color indexed="64"/>
      </right>
      <top/>
      <bottom style="thick">
        <color indexed="64"/>
      </bottom>
      <diagonal/>
    </border>
    <border>
      <left style="thick">
        <color indexed="64"/>
      </left>
      <right/>
      <top style="thick">
        <color indexed="64"/>
      </top>
      <bottom/>
      <diagonal/>
    </border>
    <border>
      <left style="thick">
        <color indexed="64"/>
      </left>
      <right/>
      <top/>
      <bottom/>
      <diagonal/>
    </border>
    <border>
      <left/>
      <right style="thin">
        <color indexed="64"/>
      </right>
      <top style="thick">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diagonal/>
    </border>
    <border>
      <left/>
      <right/>
      <top style="thick">
        <color indexed="64"/>
      </top>
      <bottom/>
      <diagonal/>
    </border>
    <border>
      <left/>
      <right/>
      <top/>
      <bottom style="thick">
        <color indexed="64"/>
      </bottom>
      <diagonal/>
    </border>
    <border>
      <left/>
      <right/>
      <top style="thin">
        <color indexed="64"/>
      </top>
      <bottom style="thin">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ck">
        <color indexed="64"/>
      </bottom>
      <diagonal/>
    </border>
    <border>
      <left/>
      <right style="thin">
        <color indexed="64"/>
      </right>
      <top style="thick">
        <color indexed="64"/>
      </top>
      <bottom/>
      <diagonal/>
    </border>
    <border>
      <left/>
      <right style="thin">
        <color indexed="64"/>
      </right>
      <top/>
      <bottom/>
      <diagonal/>
    </border>
    <border>
      <left/>
      <right/>
      <top style="thick">
        <color indexed="64"/>
      </top>
      <bottom style="thin">
        <color indexed="64"/>
      </bottom>
      <diagonal/>
    </border>
    <border>
      <left style="thick">
        <color indexed="64"/>
      </left>
      <right style="thin">
        <color indexed="64"/>
      </right>
      <top style="thick">
        <color indexed="64"/>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diagonal/>
    </border>
    <border>
      <left style="thin">
        <color theme="0" tint="-0.249977111117893"/>
      </left>
      <right style="thin">
        <color theme="0" tint="-0.24994659260841701"/>
      </right>
      <top/>
      <bottom style="thin">
        <color theme="0" tint="-0.249977111117893"/>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9" fontId="21" fillId="0" borderId="0" applyFont="0" applyFill="0" applyBorder="0" applyAlignment="0" applyProtection="0"/>
  </cellStyleXfs>
  <cellXfs count="395">
    <xf numFmtId="0" fontId="0" fillId="0" borderId="0" xfId="0"/>
    <xf numFmtId="0" fontId="7" fillId="3" borderId="10" xfId="5" applyFont="1" applyFill="1" applyBorder="1" applyAlignment="1" applyProtection="1">
      <alignment horizontal="center" vertical="center"/>
      <protection locked="0"/>
    </xf>
    <xf numFmtId="0" fontId="3" fillId="3" borderId="10" xfId="0" applyFont="1" applyFill="1" applyBorder="1" applyAlignment="1" applyProtection="1">
      <alignment horizontal="center" vertical="center"/>
      <protection locked="0"/>
    </xf>
    <xf numFmtId="0" fontId="16" fillId="3" borderId="6" xfId="0" applyFont="1" applyFill="1" applyBorder="1" applyAlignment="1" applyProtection="1">
      <alignment horizontal="center" vertical="center"/>
      <protection locked="0"/>
    </xf>
    <xf numFmtId="0" fontId="31" fillId="3" borderId="6" xfId="5" applyFont="1" applyFill="1" applyBorder="1" applyAlignment="1" applyProtection="1">
      <alignment vertical="center" wrapText="1"/>
      <protection locked="0"/>
    </xf>
    <xf numFmtId="9" fontId="16" fillId="3" borderId="8" xfId="3" applyFont="1" applyFill="1" applyBorder="1" applyAlignment="1" applyProtection="1">
      <alignment horizontal="center" vertical="center"/>
      <protection locked="0"/>
    </xf>
    <xf numFmtId="0" fontId="31" fillId="3" borderId="6" xfId="2" applyNumberFormat="1" applyFont="1" applyFill="1" applyBorder="1" applyAlignment="1" applyProtection="1">
      <alignment horizontal="center" vertical="center"/>
      <protection locked="0"/>
    </xf>
    <xf numFmtId="0" fontId="3" fillId="0" borderId="0" xfId="0" applyFont="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4" fillId="0" borderId="0" xfId="0" applyFont="1" applyAlignment="1">
      <alignment vertical="center"/>
    </xf>
    <xf numFmtId="0" fontId="11" fillId="0" borderId="0" xfId="0" applyFont="1" applyAlignment="1">
      <alignment vertical="center"/>
    </xf>
    <xf numFmtId="0" fontId="3" fillId="0" borderId="1" xfId="0" applyFont="1" applyBorder="1" applyAlignment="1">
      <alignment vertical="center"/>
    </xf>
    <xf numFmtId="0" fontId="3" fillId="0" borderId="2" xfId="0" applyFont="1" applyBorder="1" applyAlignment="1">
      <alignment vertical="center"/>
    </xf>
    <xf numFmtId="0" fontId="3" fillId="0" borderId="2" xfId="0" applyFont="1" applyBorder="1" applyAlignment="1">
      <alignment horizontal="left" vertical="center"/>
    </xf>
    <xf numFmtId="0" fontId="3" fillId="0" borderId="2" xfId="0" applyFont="1" applyBorder="1" applyAlignment="1">
      <alignment horizontal="center"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7" fillId="0" borderId="0" xfId="5" applyFont="1" applyAlignment="1">
      <alignment horizontal="center" vertical="center"/>
    </xf>
    <xf numFmtId="0" fontId="6" fillId="0" borderId="0" xfId="4" applyFont="1" applyAlignment="1">
      <alignment horizontal="right" vertical="center" wrapText="1"/>
    </xf>
    <xf numFmtId="0" fontId="34" fillId="4" borderId="0" xfId="0" applyFont="1" applyFill="1" applyAlignment="1">
      <alignment vertical="center"/>
    </xf>
    <xf numFmtId="0" fontId="8" fillId="4" borderId="0" xfId="0" applyFont="1" applyFill="1" applyAlignment="1">
      <alignment vertical="center"/>
    </xf>
    <xf numFmtId="0" fontId="9" fillId="4" borderId="0" xfId="0" applyFont="1" applyFill="1" applyAlignment="1">
      <alignment vertical="center"/>
    </xf>
    <xf numFmtId="43" fontId="10" fillId="4" borderId="0" xfId="6" applyFont="1" applyFill="1" applyBorder="1" applyAlignment="1" applyProtection="1">
      <alignment horizontal="left" vertical="center" wrapText="1"/>
    </xf>
    <xf numFmtId="0" fontId="9" fillId="4" borderId="0" xfId="0" applyFont="1" applyFill="1" applyAlignment="1">
      <alignment horizontal="center" vertical="center"/>
    </xf>
    <xf numFmtId="0" fontId="9" fillId="0" borderId="0" xfId="0" applyFont="1" applyAlignment="1">
      <alignment vertical="center"/>
    </xf>
    <xf numFmtId="43" fontId="10" fillId="0" borderId="0" xfId="6" applyFont="1" applyFill="1" applyBorder="1" applyAlignment="1" applyProtection="1">
      <alignment horizontal="left" vertical="center" wrapText="1"/>
    </xf>
    <xf numFmtId="0" fontId="9" fillId="0" borderId="0" xfId="0" applyFont="1" applyAlignment="1">
      <alignment horizontal="center" vertical="center"/>
    </xf>
    <xf numFmtId="0" fontId="6" fillId="0" borderId="13" xfId="4" applyFont="1" applyBorder="1" applyAlignment="1">
      <alignment horizontal="left" vertical="center" wrapText="1"/>
    </xf>
    <xf numFmtId="0" fontId="3" fillId="0" borderId="13" xfId="0" applyFont="1" applyBorder="1" applyAlignment="1">
      <alignment vertical="center"/>
    </xf>
    <xf numFmtId="0" fontId="3" fillId="0" borderId="14" xfId="0" applyFont="1" applyBorder="1" applyAlignment="1">
      <alignment vertical="center"/>
    </xf>
    <xf numFmtId="0" fontId="3" fillId="0" borderId="16" xfId="0" applyFont="1" applyBorder="1" applyAlignment="1">
      <alignment vertical="center"/>
    </xf>
    <xf numFmtId="0" fontId="6" fillId="0" borderId="19" xfId="4" applyFont="1" applyBorder="1" applyAlignment="1">
      <alignment horizontal="left" vertical="center" wrapText="1"/>
    </xf>
    <xf numFmtId="0" fontId="7" fillId="0" borderId="19" xfId="5" applyFont="1" applyBorder="1" applyAlignment="1">
      <alignment horizontal="center" vertical="center"/>
    </xf>
    <xf numFmtId="0" fontId="3" fillId="0" borderId="19" xfId="0" applyFont="1" applyBorder="1" applyAlignment="1">
      <alignment vertical="center"/>
    </xf>
    <xf numFmtId="0" fontId="3" fillId="0" borderId="20" xfId="0" applyFont="1" applyBorder="1" applyAlignment="1">
      <alignment vertical="center"/>
    </xf>
    <xf numFmtId="0" fontId="9" fillId="5" borderId="11" xfId="0" applyFont="1" applyFill="1" applyBorder="1" applyAlignment="1">
      <alignment horizontal="center" vertical="center"/>
    </xf>
    <xf numFmtId="0" fontId="9" fillId="5" borderId="0" xfId="0" applyFont="1" applyFill="1" applyAlignment="1">
      <alignment horizontal="center" vertical="center"/>
    </xf>
    <xf numFmtId="165" fontId="9" fillId="0" borderId="0" xfId="6" applyNumberFormat="1" applyFont="1" applyFill="1" applyBorder="1" applyAlignment="1" applyProtection="1">
      <alignment horizontal="center" vertical="center"/>
    </xf>
    <xf numFmtId="0" fontId="6" fillId="0" borderId="13" xfId="4" applyFont="1" applyBorder="1" applyAlignment="1">
      <alignment horizontal="left" vertical="center"/>
    </xf>
    <xf numFmtId="0" fontId="12" fillId="0" borderId="0" xfId="5" applyFont="1" applyAlignment="1">
      <alignment horizontal="center" vertical="center"/>
    </xf>
    <xf numFmtId="0" fontId="3" fillId="0" borderId="13" xfId="0" applyFont="1" applyBorder="1" applyAlignment="1">
      <alignment horizontal="center" vertical="center"/>
    </xf>
    <xf numFmtId="0" fontId="6" fillId="0" borderId="19" xfId="4" applyFont="1" applyBorder="1" applyAlignment="1">
      <alignment horizontal="left" vertical="center"/>
    </xf>
    <xf numFmtId="0" fontId="23" fillId="0" borderId="0" xfId="0" applyFont="1" applyAlignment="1">
      <alignment vertical="center"/>
    </xf>
    <xf numFmtId="0" fontId="13" fillId="0" borderId="0" xfId="4" applyFont="1" applyAlignment="1">
      <alignment horizontal="right" vertical="center"/>
    </xf>
    <xf numFmtId="43" fontId="14" fillId="0" borderId="0" xfId="6" applyFont="1" applyFill="1" applyBorder="1" applyAlignment="1" applyProtection="1">
      <alignment horizontal="left" vertical="center"/>
    </xf>
    <xf numFmtId="0" fontId="13" fillId="0" borderId="0" xfId="4" applyFont="1" applyAlignment="1">
      <alignment horizontal="center" vertical="center"/>
    </xf>
    <xf numFmtId="0" fontId="3" fillId="0" borderId="29" xfId="0" applyFont="1" applyBorder="1" applyAlignment="1">
      <alignment horizontal="center" vertical="center"/>
    </xf>
    <xf numFmtId="43" fontId="6" fillId="0" borderId="0" xfId="6" applyFont="1" applyFill="1" applyBorder="1" applyAlignment="1" applyProtection="1">
      <alignment horizontal="left" vertical="center" wrapText="1"/>
    </xf>
    <xf numFmtId="0" fontId="11" fillId="0" borderId="0" xfId="0" applyFont="1" applyAlignment="1">
      <alignment horizontal="right" vertical="center"/>
    </xf>
    <xf numFmtId="0" fontId="11" fillId="0" borderId="0" xfId="0" applyFont="1" applyAlignment="1">
      <alignment horizontal="center" vertical="center"/>
    </xf>
    <xf numFmtId="0" fontId="11" fillId="0" borderId="0" xfId="3" applyNumberFormat="1" applyFont="1" applyAlignment="1" applyProtection="1">
      <alignment horizontal="center" vertical="center"/>
    </xf>
    <xf numFmtId="0" fontId="24" fillId="0" borderId="0" xfId="0" applyFont="1" applyAlignment="1">
      <alignment vertical="center"/>
    </xf>
    <xf numFmtId="0" fontId="25" fillId="0" borderId="0" xfId="0" applyFont="1" applyAlignment="1">
      <alignment vertical="center"/>
    </xf>
    <xf numFmtId="0" fontId="3" fillId="0" borderId="0" xfId="0" applyFont="1" applyAlignment="1">
      <alignment horizontal="right" vertical="center"/>
    </xf>
    <xf numFmtId="0" fontId="20" fillId="0" borderId="0" xfId="0" applyFont="1"/>
    <xf numFmtId="0" fontId="26" fillId="0" borderId="30" xfId="0" applyFont="1" applyBorder="1" applyAlignment="1">
      <alignment horizontal="center" wrapText="1"/>
    </xf>
    <xf numFmtId="0" fontId="26" fillId="0" borderId="27" xfId="0" applyFont="1" applyBorder="1" applyAlignment="1">
      <alignment horizontal="center" wrapText="1"/>
    </xf>
    <xf numFmtId="165" fontId="9" fillId="5" borderId="35" xfId="6" applyNumberFormat="1" applyFont="1" applyFill="1" applyBorder="1" applyAlignment="1" applyProtection="1">
      <alignment horizontal="center" vertical="center" wrapText="1"/>
    </xf>
    <xf numFmtId="165" fontId="9" fillId="5" borderId="7" xfId="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0" fontId="26" fillId="0" borderId="31" xfId="0" applyFont="1" applyBorder="1" applyAlignment="1">
      <alignment horizontal="center" vertical="center" wrapText="1"/>
    </xf>
    <xf numFmtId="0" fontId="26" fillId="0" borderId="28" xfId="0" applyFont="1" applyBorder="1" applyAlignment="1">
      <alignment horizontal="center" vertical="center" wrapText="1"/>
    </xf>
    <xf numFmtId="0" fontId="29" fillId="0" borderId="29" xfId="0" applyFont="1" applyBorder="1" applyAlignment="1">
      <alignment horizontal="center" vertical="center" wrapText="1"/>
    </xf>
    <xf numFmtId="0" fontId="0" fillId="0" borderId="0" xfId="0" applyAlignment="1">
      <alignment horizontal="left"/>
    </xf>
    <xf numFmtId="164" fontId="31" fillId="8" borderId="8" xfId="2" applyFont="1" applyFill="1" applyBorder="1" applyAlignment="1" applyProtection="1">
      <alignment vertical="center"/>
    </xf>
    <xf numFmtId="43" fontId="4" fillId="0" borderId="0" xfId="1" applyFont="1" applyAlignment="1" applyProtection="1">
      <alignment vertical="center"/>
    </xf>
    <xf numFmtId="9" fontId="4" fillId="0" borderId="0" xfId="3" applyFont="1" applyAlignment="1" applyProtection="1">
      <alignment vertical="center"/>
    </xf>
    <xf numFmtId="9" fontId="3" fillId="0" borderId="0" xfId="3" applyFont="1" applyAlignment="1" applyProtection="1">
      <alignment horizontal="center" vertical="center"/>
    </xf>
    <xf numFmtId="43" fontId="3" fillId="0" borderId="0" xfId="1" applyFont="1" applyAlignment="1" applyProtection="1">
      <alignment horizontal="center" vertical="center"/>
    </xf>
    <xf numFmtId="43" fontId="3" fillId="0" borderId="0" xfId="1" applyFont="1" applyAlignment="1" applyProtection="1">
      <alignment vertical="center"/>
    </xf>
    <xf numFmtId="164" fontId="3" fillId="0" borderId="0" xfId="0" applyNumberFormat="1" applyFont="1" applyAlignment="1">
      <alignment vertical="center"/>
    </xf>
    <xf numFmtId="9" fontId="4" fillId="0" borderId="0" xfId="0" applyNumberFormat="1" applyFont="1" applyAlignment="1">
      <alignment horizontal="left" vertical="center"/>
    </xf>
    <xf numFmtId="0" fontId="4" fillId="0" borderId="0" xfId="0" applyFont="1" applyAlignment="1">
      <alignment horizontal="right" vertical="center"/>
    </xf>
    <xf numFmtId="0" fontId="4" fillId="0" borderId="0" xfId="0" applyFont="1" applyAlignment="1">
      <alignment horizontal="center" vertical="center"/>
    </xf>
    <xf numFmtId="9" fontId="11" fillId="0" borderId="0" xfId="3" applyFont="1" applyAlignment="1" applyProtection="1">
      <alignment vertical="center"/>
    </xf>
    <xf numFmtId="164" fontId="11" fillId="0" borderId="0" xfId="0" applyNumberFormat="1" applyFont="1" applyAlignment="1">
      <alignment vertical="center"/>
    </xf>
    <xf numFmtId="165" fontId="30" fillId="5" borderId="35" xfId="6" applyNumberFormat="1" applyFont="1" applyFill="1" applyBorder="1" applyAlignment="1" applyProtection="1">
      <alignment horizontal="center" vertical="center" wrapText="1"/>
    </xf>
    <xf numFmtId="9" fontId="16" fillId="0" borderId="0" xfId="3" applyFont="1" applyAlignment="1" applyProtection="1">
      <alignment horizontal="center" vertical="center"/>
    </xf>
    <xf numFmtId="9" fontId="16" fillId="7" borderId="0" xfId="3" applyFont="1" applyFill="1" applyAlignment="1" applyProtection="1">
      <alignment horizontal="center" vertical="center"/>
    </xf>
    <xf numFmtId="164" fontId="16" fillId="0" borderId="0" xfId="0" applyNumberFormat="1" applyFont="1" applyAlignment="1">
      <alignment vertical="center"/>
    </xf>
    <xf numFmtId="9" fontId="11" fillId="0" borderId="0" xfId="3" applyFont="1" applyAlignment="1" applyProtection="1">
      <alignment horizontal="center" vertical="center"/>
    </xf>
    <xf numFmtId="10" fontId="3" fillId="0" borderId="0" xfId="3" applyNumberFormat="1" applyFont="1" applyAlignment="1" applyProtection="1">
      <alignment vertical="center"/>
    </xf>
    <xf numFmtId="164" fontId="3" fillId="8" borderId="42" xfId="3" applyNumberFormat="1" applyFont="1" applyFill="1" applyBorder="1" applyAlignment="1" applyProtection="1">
      <alignment vertical="center"/>
    </xf>
    <xf numFmtId="164" fontId="3" fillId="8" borderId="21" xfId="3" applyNumberFormat="1" applyFont="1" applyFill="1" applyBorder="1" applyAlignment="1" applyProtection="1">
      <alignment vertical="center"/>
    </xf>
    <xf numFmtId="10" fontId="3" fillId="0" borderId="37" xfId="3" applyNumberFormat="1" applyFont="1" applyFill="1" applyBorder="1" applyAlignment="1" applyProtection="1">
      <alignment vertical="center"/>
    </xf>
    <xf numFmtId="10" fontId="3" fillId="0" borderId="0" xfId="3" applyNumberFormat="1" applyFont="1" applyFill="1" applyBorder="1" applyAlignment="1" applyProtection="1">
      <alignment vertical="center"/>
    </xf>
    <xf numFmtId="10" fontId="3" fillId="0" borderId="0" xfId="3" applyNumberFormat="1" applyFont="1" applyFill="1" applyBorder="1" applyAlignment="1" applyProtection="1">
      <alignment horizontal="center" vertical="center"/>
    </xf>
    <xf numFmtId="10" fontId="4" fillId="0" borderId="0" xfId="3" applyNumberFormat="1" applyFont="1" applyAlignment="1" applyProtection="1">
      <alignment vertical="center"/>
    </xf>
    <xf numFmtId="9" fontId="11" fillId="0" borderId="0" xfId="0" applyNumberFormat="1" applyFont="1" applyAlignment="1">
      <alignment vertical="center"/>
    </xf>
    <xf numFmtId="9" fontId="4" fillId="0" borderId="0" xfId="0" applyNumberFormat="1" applyFont="1" applyAlignment="1">
      <alignment vertical="center"/>
    </xf>
    <xf numFmtId="9" fontId="4" fillId="0" borderId="0" xfId="3" applyFont="1" applyFill="1" applyAlignment="1" applyProtection="1">
      <alignment vertical="center"/>
    </xf>
    <xf numFmtId="9" fontId="3" fillId="0" borderId="0" xfId="3" applyFont="1" applyAlignment="1" applyProtection="1">
      <alignment vertical="center"/>
    </xf>
    <xf numFmtId="43" fontId="7" fillId="0" borderId="0" xfId="5" applyNumberFormat="1" applyFont="1" applyAlignment="1">
      <alignment horizontal="center" vertical="center"/>
    </xf>
    <xf numFmtId="0" fontId="15" fillId="0" borderId="0" xfId="0" applyFont="1" applyAlignment="1">
      <alignment vertical="center"/>
    </xf>
    <xf numFmtId="3" fontId="4" fillId="0" borderId="0" xfId="0" applyNumberFormat="1" applyFont="1" applyAlignment="1">
      <alignment vertical="center"/>
    </xf>
    <xf numFmtId="166" fontId="17" fillId="0" borderId="0" xfId="8" applyNumberFormat="1" applyFont="1" applyFill="1" applyAlignment="1" applyProtection="1">
      <alignment horizontal="right"/>
    </xf>
    <xf numFmtId="2" fontId="18" fillId="0" borderId="0" xfId="6" applyNumberFormat="1" applyFont="1" applyFill="1" applyProtection="1"/>
    <xf numFmtId="166" fontId="19" fillId="0" borderId="0" xfId="8" applyNumberFormat="1" applyFont="1" applyFill="1" applyBorder="1" applyProtection="1"/>
    <xf numFmtId="0" fontId="3" fillId="0" borderId="22" xfId="0" applyFont="1" applyBorder="1" applyAlignment="1">
      <alignment vertical="center"/>
    </xf>
    <xf numFmtId="0" fontId="3" fillId="0" borderId="23" xfId="0" applyFont="1" applyBorder="1" applyAlignment="1">
      <alignment vertical="center"/>
    </xf>
    <xf numFmtId="0" fontId="3" fillId="0" borderId="23" xfId="0" applyFont="1" applyBorder="1" applyAlignment="1">
      <alignment horizontal="center" vertical="center"/>
    </xf>
    <xf numFmtId="0" fontId="3" fillId="0" borderId="24" xfId="0" applyFont="1" applyBorder="1" applyAlignment="1">
      <alignment vertical="center"/>
    </xf>
    <xf numFmtId="40" fontId="6" fillId="0" borderId="0" xfId="8" applyNumberFormat="1" applyFont="1" applyFill="1" applyBorder="1" applyAlignment="1" applyProtection="1">
      <alignment horizontal="left" vertical="center"/>
    </xf>
    <xf numFmtId="4" fontId="3" fillId="0" borderId="0" xfId="0" applyNumberFormat="1" applyFont="1" applyAlignment="1">
      <alignment horizontal="center" vertical="center"/>
    </xf>
    <xf numFmtId="166" fontId="6" fillId="0" borderId="0" xfId="8" applyNumberFormat="1" applyFont="1" applyFill="1" applyBorder="1" applyAlignment="1" applyProtection="1">
      <alignment horizontal="left" vertical="center"/>
    </xf>
    <xf numFmtId="10" fontId="3" fillId="0" borderId="0" xfId="7" applyNumberFormat="1" applyFont="1" applyFill="1" applyBorder="1" applyAlignment="1" applyProtection="1">
      <alignment horizontal="center" vertical="center"/>
    </xf>
    <xf numFmtId="10" fontId="6" fillId="0" borderId="0" xfId="9" applyNumberFormat="1" applyFont="1" applyFill="1" applyBorder="1" applyAlignment="1" applyProtection="1">
      <alignment horizontal="left" vertical="center"/>
    </xf>
    <xf numFmtId="38" fontId="3" fillId="0" borderId="0" xfId="8" applyNumberFormat="1" applyFont="1" applyFill="1" applyBorder="1" applyAlignment="1" applyProtection="1">
      <alignment horizontal="center" vertical="center"/>
    </xf>
    <xf numFmtId="10" fontId="22" fillId="0" borderId="0" xfId="3" applyNumberFormat="1" applyFont="1" applyFill="1" applyAlignment="1" applyProtection="1">
      <alignment horizontal="center" vertical="center"/>
    </xf>
    <xf numFmtId="0" fontId="31" fillId="3" borderId="8" xfId="5" applyFont="1" applyFill="1" applyBorder="1" applyAlignment="1" applyProtection="1">
      <alignment horizontal="center" vertical="center"/>
      <protection locked="0"/>
    </xf>
    <xf numFmtId="164" fontId="31" fillId="3" borderId="8" xfId="2" applyFont="1" applyFill="1" applyBorder="1" applyAlignment="1" applyProtection="1">
      <alignment vertical="center"/>
      <protection locked="0"/>
    </xf>
    <xf numFmtId="165" fontId="9" fillId="5" borderId="49" xfId="6" applyNumberFormat="1" applyFont="1" applyFill="1" applyBorder="1" applyAlignment="1" applyProtection="1">
      <alignment horizontal="center" vertical="center" wrapText="1"/>
    </xf>
    <xf numFmtId="0" fontId="6" fillId="3" borderId="10" xfId="3" applyNumberFormat="1" applyFont="1" applyFill="1" applyBorder="1" applyAlignment="1" applyProtection="1">
      <alignment horizontal="center" vertical="center"/>
      <protection locked="0"/>
    </xf>
    <xf numFmtId="0" fontId="3" fillId="6" borderId="18" xfId="0" applyFont="1" applyFill="1" applyBorder="1" applyAlignment="1">
      <alignment horizontal="center" vertical="center" wrapText="1"/>
    </xf>
    <xf numFmtId="0" fontId="6" fillId="0" borderId="0" xfId="4" applyFont="1" applyAlignment="1">
      <alignment horizontal="left" vertical="center" wrapText="1"/>
    </xf>
    <xf numFmtId="165" fontId="9" fillId="5" borderId="0" xfId="6" applyNumberFormat="1" applyFont="1" applyFill="1" applyBorder="1" applyAlignment="1" applyProtection="1">
      <alignment horizontal="center" vertical="center"/>
    </xf>
    <xf numFmtId="0" fontId="6" fillId="0" borderId="0" xfId="4" applyFont="1" applyAlignment="1">
      <alignment horizontal="left" vertical="center"/>
    </xf>
    <xf numFmtId="9" fontId="40" fillId="0" borderId="0" xfId="3" applyFont="1" applyBorder="1" applyAlignment="1" applyProtection="1">
      <alignment horizontal="center" vertical="center"/>
    </xf>
    <xf numFmtId="2" fontId="40" fillId="0" borderId="0" xfId="1" applyNumberFormat="1" applyFont="1" applyBorder="1" applyAlignment="1" applyProtection="1">
      <alignment horizontal="center" vertical="center"/>
    </xf>
    <xf numFmtId="0" fontId="40" fillId="0" borderId="0" xfId="0" applyFont="1" applyAlignment="1">
      <alignment horizontal="center" vertical="center"/>
    </xf>
    <xf numFmtId="0" fontId="35" fillId="11" borderId="38" xfId="0" applyFont="1" applyFill="1" applyBorder="1" applyAlignment="1">
      <alignment vertical="center"/>
    </xf>
    <xf numFmtId="10" fontId="37" fillId="11" borderId="40" xfId="3" applyNumberFormat="1" applyFont="1" applyFill="1" applyBorder="1" applyAlignment="1" applyProtection="1">
      <alignment horizontal="center" vertical="center"/>
    </xf>
    <xf numFmtId="165" fontId="36" fillId="11" borderId="39" xfId="1" applyNumberFormat="1" applyFont="1" applyFill="1" applyBorder="1" applyAlignment="1" applyProtection="1">
      <alignment horizontal="left" vertical="center"/>
    </xf>
    <xf numFmtId="10" fontId="34" fillId="11" borderId="40" xfId="3" applyNumberFormat="1" applyFont="1" applyFill="1" applyBorder="1" applyAlignment="1" applyProtection="1">
      <alignment horizontal="center" vertical="center"/>
    </xf>
    <xf numFmtId="168" fontId="13" fillId="11" borderId="40" xfId="2" applyNumberFormat="1" applyFont="1" applyFill="1" applyBorder="1" applyAlignment="1" applyProtection="1">
      <alignment horizontal="center" vertical="center"/>
    </xf>
    <xf numFmtId="0" fontId="0" fillId="0" borderId="0" xfId="0" applyAlignment="1">
      <alignment wrapText="1"/>
    </xf>
    <xf numFmtId="0" fontId="38" fillId="0" borderId="0" xfId="0" applyFont="1"/>
    <xf numFmtId="0" fontId="39" fillId="0" borderId="31" xfId="0" applyFont="1" applyBorder="1" applyAlignment="1">
      <alignment horizontal="center" wrapText="1"/>
    </xf>
    <xf numFmtId="0" fontId="39" fillId="0" borderId="29" xfId="0" applyFont="1" applyBorder="1" applyAlignment="1">
      <alignment horizontal="center" wrapText="1"/>
    </xf>
    <xf numFmtId="0" fontId="42" fillId="0" borderId="57" xfId="0" applyFont="1" applyBorder="1" applyAlignment="1">
      <alignment horizontal="center" wrapText="1"/>
    </xf>
    <xf numFmtId="0" fontId="42" fillId="0" borderId="58" xfId="0" applyFont="1" applyBorder="1" applyAlignment="1">
      <alignment horizontal="center" wrapText="1"/>
    </xf>
    <xf numFmtId="0" fontId="42" fillId="0" borderId="59" xfId="0" applyFont="1" applyBorder="1" applyAlignment="1">
      <alignment horizontal="center" wrapText="1"/>
    </xf>
    <xf numFmtId="0" fontId="42" fillId="0" borderId="60" xfId="0" applyFont="1" applyBorder="1" applyAlignment="1">
      <alignment horizontal="center" wrapText="1"/>
    </xf>
    <xf numFmtId="0" fontId="42" fillId="0" borderId="61" xfId="0" applyFont="1" applyBorder="1" applyAlignment="1">
      <alignment horizontal="center" wrapText="1"/>
    </xf>
    <xf numFmtId="0" fontId="42" fillId="0" borderId="62" xfId="0" applyFont="1" applyBorder="1" applyAlignment="1">
      <alignment horizontal="center" wrapText="1"/>
    </xf>
    <xf numFmtId="0" fontId="42" fillId="0" borderId="63" xfId="0" applyFont="1" applyBorder="1" applyAlignment="1">
      <alignment horizontal="center" wrapText="1"/>
    </xf>
    <xf numFmtId="9" fontId="42" fillId="0" borderId="56" xfId="3" applyFont="1" applyBorder="1" applyAlignment="1" applyProtection="1">
      <alignment horizontal="center" wrapText="1"/>
    </xf>
    <xf numFmtId="9" fontId="42" fillId="0" borderId="57" xfId="3" applyFont="1" applyBorder="1" applyAlignment="1" applyProtection="1">
      <alignment horizontal="center" wrapText="1"/>
    </xf>
    <xf numFmtId="9" fontId="42" fillId="0" borderId="59" xfId="3" applyFont="1" applyBorder="1" applyAlignment="1" applyProtection="1">
      <alignment horizontal="center" wrapText="1"/>
    </xf>
    <xf numFmtId="9" fontId="42" fillId="0" borderId="60" xfId="3" applyFont="1" applyBorder="1" applyAlignment="1" applyProtection="1">
      <alignment horizontal="center" wrapText="1"/>
    </xf>
    <xf numFmtId="0" fontId="23" fillId="0" borderId="0" xfId="0" applyFont="1" applyAlignment="1">
      <alignment horizontal="left" vertical="center"/>
    </xf>
    <xf numFmtId="0" fontId="7" fillId="0" borderId="0" xfId="5" applyFont="1" applyAlignment="1">
      <alignment horizontal="right" vertical="center"/>
    </xf>
    <xf numFmtId="0" fontId="9" fillId="0" borderId="72" xfId="0" applyFont="1" applyBorder="1" applyAlignment="1">
      <alignment vertical="center"/>
    </xf>
    <xf numFmtId="0" fontId="9" fillId="0" borderId="73" xfId="0" applyFont="1" applyBorder="1" applyAlignment="1">
      <alignment vertical="center"/>
    </xf>
    <xf numFmtId="164" fontId="7" fillId="8" borderId="8" xfId="2" applyFont="1" applyFill="1" applyBorder="1" applyAlignment="1" applyProtection="1">
      <alignment horizontal="center" vertical="center"/>
    </xf>
    <xf numFmtId="0" fontId="46" fillId="0" borderId="53" xfId="0" applyFont="1" applyBorder="1" applyAlignment="1">
      <alignment horizontal="center" vertical="center"/>
    </xf>
    <xf numFmtId="0" fontId="41" fillId="12" borderId="54" xfId="0" applyFont="1" applyFill="1" applyBorder="1" applyAlignment="1">
      <alignment horizontal="center" wrapText="1"/>
    </xf>
    <xf numFmtId="0" fontId="41" fillId="12" borderId="55" xfId="0" applyFont="1" applyFill="1" applyBorder="1" applyAlignment="1">
      <alignment horizontal="center" wrapText="1"/>
    </xf>
    <xf numFmtId="0" fontId="47" fillId="0" borderId="0" xfId="0" applyFont="1"/>
    <xf numFmtId="9" fontId="48" fillId="0" borderId="60" xfId="3" applyFont="1" applyBorder="1" applyAlignment="1" applyProtection="1">
      <alignment horizontal="center" wrapText="1"/>
    </xf>
    <xf numFmtId="0" fontId="42" fillId="12" borderId="74" xfId="0" applyFont="1" applyFill="1" applyBorder="1" applyAlignment="1">
      <alignment horizontal="center" wrapText="1"/>
    </xf>
    <xf numFmtId="0" fontId="42" fillId="12" borderId="26" xfId="0" applyFont="1" applyFill="1" applyBorder="1" applyAlignment="1">
      <alignment horizontal="center" wrapText="1"/>
    </xf>
    <xf numFmtId="0" fontId="42" fillId="12" borderId="75" xfId="0" applyFont="1" applyFill="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2" fillId="0" borderId="25" xfId="0" applyFont="1" applyBorder="1" applyAlignment="1">
      <alignment horizontal="center" wrapText="1"/>
    </xf>
    <xf numFmtId="0" fontId="42" fillId="12" borderId="63" xfId="0" applyFont="1" applyFill="1" applyBorder="1" applyAlignment="1">
      <alignment horizontal="center" wrapText="1"/>
    </xf>
    <xf numFmtId="0" fontId="42" fillId="12" borderId="64" xfId="0" applyFont="1" applyFill="1" applyBorder="1" applyAlignment="1">
      <alignment horizontal="center" wrapText="1"/>
    </xf>
    <xf numFmtId="0" fontId="42" fillId="12" borderId="62" xfId="0" applyFont="1" applyFill="1" applyBorder="1" applyAlignment="1">
      <alignment horizontal="center" wrapText="1"/>
    </xf>
    <xf numFmtId="0" fontId="42" fillId="12" borderId="79" xfId="0" applyFont="1" applyFill="1" applyBorder="1" applyAlignment="1">
      <alignment horizontal="center" wrapText="1"/>
    </xf>
    <xf numFmtId="0" fontId="42" fillId="12" borderId="80" xfId="0" applyFont="1" applyFill="1" applyBorder="1" applyAlignment="1">
      <alignment horizontal="center" wrapText="1"/>
    </xf>
    <xf numFmtId="0" fontId="6" fillId="0" borderId="81" xfId="4" applyFont="1" applyBorder="1" applyAlignment="1">
      <alignment horizontal="left" vertical="center" wrapText="1"/>
    </xf>
    <xf numFmtId="0" fontId="3" fillId="0" borderId="81" xfId="0" applyFont="1" applyBorder="1" applyAlignment="1">
      <alignment horizontal="center" vertical="center"/>
    </xf>
    <xf numFmtId="0" fontId="3" fillId="0" borderId="81" xfId="0" applyFont="1" applyBorder="1" applyAlignment="1">
      <alignment vertical="center"/>
    </xf>
    <xf numFmtId="165" fontId="50" fillId="0" borderId="0" xfId="6" applyNumberFormat="1" applyFont="1" applyFill="1" applyBorder="1" applyAlignment="1" applyProtection="1">
      <alignment horizontal="left" vertical="center"/>
    </xf>
    <xf numFmtId="0" fontId="34" fillId="13"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43" fontId="10" fillId="13" borderId="0" xfId="6" applyFont="1" applyFill="1" applyBorder="1" applyAlignment="1" applyProtection="1">
      <alignment horizontal="left" vertical="center" wrapText="1"/>
    </xf>
    <xf numFmtId="0" fontId="9" fillId="13" borderId="0" xfId="0" applyFont="1" applyFill="1" applyAlignment="1">
      <alignment horizontal="center" vertical="center"/>
    </xf>
    <xf numFmtId="0" fontId="3" fillId="0" borderId="72" xfId="0" applyFont="1" applyBorder="1" applyAlignment="1">
      <alignment vertical="center"/>
    </xf>
    <xf numFmtId="0" fontId="3" fillId="6" borderId="65" xfId="0" applyFont="1" applyFill="1" applyBorder="1" applyAlignment="1">
      <alignment horizontal="center" vertical="center" wrapText="1"/>
    </xf>
    <xf numFmtId="0" fontId="0" fillId="14" borderId="0" xfId="0" applyFill="1" applyAlignment="1">
      <alignment horizontal="center"/>
    </xf>
    <xf numFmtId="0" fontId="0" fillId="14" borderId="89" xfId="0" applyFill="1" applyBorder="1" applyAlignment="1">
      <alignment horizontal="center"/>
    </xf>
    <xf numFmtId="0" fontId="0" fillId="14" borderId="90" xfId="0" applyFill="1" applyBorder="1" applyAlignment="1">
      <alignment horizontal="center"/>
    </xf>
    <xf numFmtId="0" fontId="2" fillId="14" borderId="90" xfId="0" applyFont="1" applyFill="1" applyBorder="1" applyAlignment="1">
      <alignment horizontal="center"/>
    </xf>
    <xf numFmtId="0" fontId="0" fillId="14" borderId="92" xfId="0" applyFill="1" applyBorder="1" applyAlignment="1">
      <alignment horizontal="center"/>
    </xf>
    <xf numFmtId="0" fontId="2" fillId="14" borderId="92" xfId="0" applyFont="1" applyFill="1" applyBorder="1" applyAlignment="1">
      <alignment horizontal="center"/>
    </xf>
    <xf numFmtId="0" fontId="2" fillId="14" borderId="94" xfId="0" applyFont="1" applyFill="1" applyBorder="1" applyAlignment="1">
      <alignment horizontal="center"/>
    </xf>
    <xf numFmtId="0" fontId="0" fillId="14" borderId="95" xfId="0" applyFill="1" applyBorder="1" applyAlignment="1">
      <alignment horizontal="center"/>
    </xf>
    <xf numFmtId="0" fontId="3" fillId="0" borderId="83" xfId="0" applyFont="1" applyBorder="1" applyAlignment="1">
      <alignment vertical="center"/>
    </xf>
    <xf numFmtId="0" fontId="3" fillId="0" borderId="84" xfId="0" applyFont="1" applyBorder="1" applyAlignment="1">
      <alignment vertical="center"/>
    </xf>
    <xf numFmtId="0" fontId="51" fillId="13" borderId="85" xfId="0" applyFont="1" applyFill="1" applyBorder="1" applyAlignment="1">
      <alignment vertical="center"/>
    </xf>
    <xf numFmtId="0" fontId="9" fillId="13" borderId="86" xfId="0" applyFont="1" applyFill="1" applyBorder="1" applyAlignment="1">
      <alignment vertical="center"/>
    </xf>
    <xf numFmtId="0" fontId="3" fillId="0" borderId="85" xfId="0" applyFont="1" applyBorder="1" applyAlignment="1">
      <alignment vertical="center"/>
    </xf>
    <xf numFmtId="0" fontId="3" fillId="0" borderId="86" xfId="0" applyFont="1" applyBorder="1" applyAlignment="1">
      <alignment vertical="center"/>
    </xf>
    <xf numFmtId="0" fontId="0" fillId="0" borderId="85" xfId="0" applyBorder="1"/>
    <xf numFmtId="0" fontId="0" fillId="0" borderId="86" xfId="0" applyBorder="1"/>
    <xf numFmtId="0" fontId="3" fillId="0" borderId="87" xfId="0" applyFont="1" applyBorder="1" applyAlignment="1">
      <alignment horizontal="left" vertical="center"/>
    </xf>
    <xf numFmtId="168" fontId="0" fillId="14" borderId="0" xfId="0" applyNumberFormat="1" applyFill="1" applyAlignment="1">
      <alignment horizontal="center"/>
    </xf>
    <xf numFmtId="0" fontId="3" fillId="0" borderId="106" xfId="0" applyFont="1" applyBorder="1" applyAlignment="1">
      <alignment vertical="center"/>
    </xf>
    <xf numFmtId="0" fontId="9" fillId="13" borderId="105" xfId="0" applyFont="1" applyFill="1" applyBorder="1" applyAlignment="1">
      <alignment vertical="center"/>
    </xf>
    <xf numFmtId="0" fontId="0" fillId="0" borderId="105" xfId="0" applyBorder="1"/>
    <xf numFmtId="0" fontId="2" fillId="0" borderId="83" xfId="0" applyFont="1" applyBorder="1" applyAlignment="1">
      <alignment vertical="center"/>
    </xf>
    <xf numFmtId="0" fontId="55" fillId="13" borderId="82" xfId="0" applyFont="1" applyFill="1" applyBorder="1" applyAlignment="1">
      <alignment vertical="center"/>
    </xf>
    <xf numFmtId="43" fontId="3" fillId="0" borderId="0" xfId="1" applyFont="1" applyFill="1" applyBorder="1" applyAlignment="1" applyProtection="1">
      <alignment horizontal="left" vertical="center"/>
    </xf>
    <xf numFmtId="43" fontId="6" fillId="0" borderId="0" xfId="1" applyFont="1" applyFill="1" applyBorder="1" applyAlignment="1" applyProtection="1">
      <alignment horizontal="left" vertical="center"/>
    </xf>
    <xf numFmtId="0" fontId="41" fillId="12" borderId="51" xfId="0" applyFont="1" applyFill="1" applyBorder="1" applyAlignment="1">
      <alignment horizontal="center" vertical="center" wrapText="1"/>
    </xf>
    <xf numFmtId="0" fontId="42" fillId="12" borderId="109" xfId="0" applyFont="1" applyFill="1" applyBorder="1" applyAlignment="1">
      <alignment horizontal="center" wrapText="1"/>
    </xf>
    <xf numFmtId="0" fontId="42" fillId="12" borderId="110" xfId="0" applyFont="1" applyFill="1" applyBorder="1" applyAlignment="1">
      <alignment horizontal="center" wrapText="1"/>
    </xf>
    <xf numFmtId="0" fontId="42" fillId="12" borderId="111" xfId="0" applyFont="1" applyFill="1" applyBorder="1" applyAlignment="1">
      <alignment horizontal="center" wrapText="1"/>
    </xf>
    <xf numFmtId="9" fontId="42" fillId="13" borderId="56" xfId="3" applyFont="1" applyFill="1" applyBorder="1" applyAlignment="1" applyProtection="1">
      <alignment horizontal="center" wrapText="1"/>
    </xf>
    <xf numFmtId="0" fontId="42" fillId="13" borderId="58" xfId="0" applyFont="1" applyFill="1" applyBorder="1" applyAlignment="1">
      <alignment horizontal="center" wrapText="1"/>
    </xf>
    <xf numFmtId="0" fontId="42" fillId="13" borderId="61" xfId="0" applyFont="1" applyFill="1" applyBorder="1" applyAlignment="1">
      <alignment horizontal="center" wrapText="1"/>
    </xf>
    <xf numFmtId="0" fontId="42" fillId="13" borderId="56" xfId="0" applyFont="1" applyFill="1" applyBorder="1" applyAlignment="1">
      <alignment horizontal="center" wrapText="1"/>
    </xf>
    <xf numFmtId="0" fontId="57" fillId="0" borderId="78" xfId="0" applyFont="1" applyBorder="1" applyAlignment="1">
      <alignment horizontal="center" vertical="center"/>
    </xf>
    <xf numFmtId="0" fontId="3" fillId="6" borderId="71" xfId="0" applyFont="1" applyFill="1" applyBorder="1" applyAlignment="1">
      <alignment horizontal="center" vertical="center" wrapText="1"/>
    </xf>
    <xf numFmtId="169" fontId="42" fillId="0" borderId="59" xfId="3" applyNumberFormat="1" applyFont="1" applyBorder="1" applyAlignment="1" applyProtection="1">
      <alignment horizontal="center" wrapText="1"/>
    </xf>
    <xf numFmtId="169" fontId="42" fillId="0" borderId="60" xfId="3" applyNumberFormat="1" applyFont="1" applyBorder="1" applyAlignment="1" applyProtection="1">
      <alignment horizontal="center" wrapText="1"/>
    </xf>
    <xf numFmtId="2" fontId="42" fillId="0" borderId="57" xfId="3" applyNumberFormat="1" applyFont="1" applyBorder="1" applyAlignment="1" applyProtection="1">
      <alignment horizontal="center" wrapText="1"/>
    </xf>
    <xf numFmtId="1" fontId="42" fillId="0" borderId="56" xfId="3" applyNumberFormat="1" applyFont="1" applyBorder="1" applyAlignment="1" applyProtection="1">
      <alignment horizontal="center" wrapText="1"/>
    </xf>
    <xf numFmtId="1" fontId="42" fillId="0" borderId="57" xfId="3" applyNumberFormat="1" applyFont="1" applyBorder="1" applyAlignment="1" applyProtection="1">
      <alignment horizontal="center" wrapText="1"/>
    </xf>
    <xf numFmtId="169" fontId="42" fillId="0" borderId="56" xfId="3" applyNumberFormat="1" applyFont="1" applyBorder="1" applyAlignment="1" applyProtection="1">
      <alignment horizontal="center" wrapText="1"/>
    </xf>
    <xf numFmtId="169" fontId="42" fillId="0" borderId="57" xfId="3" applyNumberFormat="1" applyFont="1" applyBorder="1" applyAlignment="1" applyProtection="1">
      <alignment horizontal="center" wrapText="1"/>
    </xf>
    <xf numFmtId="2" fontId="42" fillId="0" borderId="25" xfId="0" applyNumberFormat="1" applyFont="1" applyBorder="1" applyAlignment="1">
      <alignment horizontal="center" wrapText="1"/>
    </xf>
    <xf numFmtId="2" fontId="42" fillId="0" borderId="76" xfId="0" applyNumberFormat="1" applyFont="1" applyBorder="1" applyAlignment="1">
      <alignment horizontal="center" wrapText="1"/>
    </xf>
    <xf numFmtId="1" fontId="42" fillId="0" borderId="76" xfId="0" applyNumberFormat="1" applyFont="1" applyBorder="1" applyAlignment="1">
      <alignment horizontal="center" wrapText="1"/>
    </xf>
    <xf numFmtId="1" fontId="42" fillId="0" borderId="25" xfId="0" applyNumberFormat="1" applyFont="1" applyBorder="1" applyAlignment="1">
      <alignment horizontal="center" wrapText="1"/>
    </xf>
    <xf numFmtId="0" fontId="57" fillId="0" borderId="113" xfId="0" applyFont="1" applyBorder="1" applyAlignment="1">
      <alignment horizontal="center" vertical="center"/>
    </xf>
    <xf numFmtId="9" fontId="42" fillId="12" borderId="56" xfId="3" applyFont="1" applyFill="1" applyBorder="1" applyAlignment="1" applyProtection="1">
      <alignment horizontal="center" wrapText="1"/>
    </xf>
    <xf numFmtId="9" fontId="42" fillId="12" borderId="57" xfId="3" applyFont="1" applyFill="1" applyBorder="1" applyAlignment="1" applyProtection="1">
      <alignment horizontal="center" wrapText="1"/>
    </xf>
    <xf numFmtId="0" fontId="42" fillId="12" borderId="58" xfId="0" applyFont="1" applyFill="1" applyBorder="1" applyAlignment="1">
      <alignment horizontal="center" wrapText="1"/>
    </xf>
    <xf numFmtId="9" fontId="42" fillId="12" borderId="59" xfId="3" applyFont="1" applyFill="1" applyBorder="1" applyAlignment="1" applyProtection="1">
      <alignment horizontal="center" wrapText="1"/>
    </xf>
    <xf numFmtId="169" fontId="42" fillId="12" borderId="60" xfId="3" applyNumberFormat="1" applyFont="1" applyFill="1" applyBorder="1" applyAlignment="1" applyProtection="1">
      <alignment horizontal="center" wrapText="1"/>
    </xf>
    <xf numFmtId="0" fontId="42" fillId="12" borderId="61" xfId="0" applyFont="1" applyFill="1" applyBorder="1" applyAlignment="1">
      <alignment horizontal="center" wrapText="1"/>
    </xf>
    <xf numFmtId="169" fontId="42" fillId="12" borderId="59" xfId="3" applyNumberFormat="1" applyFont="1" applyFill="1" applyBorder="1" applyAlignment="1" applyProtection="1">
      <alignment horizontal="center" wrapText="1"/>
    </xf>
    <xf numFmtId="0" fontId="57" fillId="12" borderId="78" xfId="0" applyFont="1" applyFill="1" applyBorder="1" applyAlignment="1">
      <alignment horizontal="center" vertical="center"/>
    </xf>
    <xf numFmtId="1" fontId="42" fillId="12" borderId="56" xfId="3" applyNumberFormat="1" applyFont="1" applyFill="1" applyBorder="1" applyAlignment="1" applyProtection="1">
      <alignment horizontal="center" wrapText="1"/>
    </xf>
    <xf numFmtId="1" fontId="42" fillId="12" borderId="57" xfId="3" applyNumberFormat="1" applyFont="1" applyFill="1" applyBorder="1" applyAlignment="1" applyProtection="1">
      <alignment horizontal="center" wrapText="1"/>
    </xf>
    <xf numFmtId="0" fontId="42" fillId="12" borderId="76" xfId="0" applyFont="1" applyFill="1" applyBorder="1" applyAlignment="1">
      <alignment horizontal="center" wrapText="1"/>
    </xf>
    <xf numFmtId="0" fontId="42" fillId="12" borderId="25" xfId="0" applyFont="1" applyFill="1" applyBorder="1" applyAlignment="1">
      <alignment horizontal="center" wrapText="1"/>
    </xf>
    <xf numFmtId="169" fontId="42" fillId="12" borderId="56" xfId="3" applyNumberFormat="1" applyFont="1" applyFill="1" applyBorder="1" applyAlignment="1" applyProtection="1">
      <alignment horizontal="center" wrapText="1"/>
    </xf>
    <xf numFmtId="169" fontId="42" fillId="12" borderId="57" xfId="3" applyNumberFormat="1" applyFont="1" applyFill="1" applyBorder="1" applyAlignment="1" applyProtection="1">
      <alignment horizontal="center" wrapText="1"/>
    </xf>
    <xf numFmtId="2" fontId="42" fillId="12" borderId="57" xfId="3" applyNumberFormat="1" applyFont="1" applyFill="1" applyBorder="1" applyAlignment="1" applyProtection="1">
      <alignment horizontal="center" wrapText="1"/>
    </xf>
    <xf numFmtId="2" fontId="42" fillId="12" borderId="25" xfId="0" applyNumberFormat="1" applyFont="1" applyFill="1" applyBorder="1" applyAlignment="1">
      <alignment horizontal="center" wrapText="1"/>
    </xf>
    <xf numFmtId="2" fontId="42" fillId="12" borderId="76" xfId="0" applyNumberFormat="1" applyFont="1" applyFill="1" applyBorder="1" applyAlignment="1">
      <alignment horizontal="center" wrapText="1"/>
    </xf>
    <xf numFmtId="1" fontId="42" fillId="12" borderId="76" xfId="0" applyNumberFormat="1" applyFont="1" applyFill="1" applyBorder="1" applyAlignment="1">
      <alignment horizontal="center" wrapText="1"/>
    </xf>
    <xf numFmtId="1" fontId="42" fillId="12" borderId="25" xfId="0" applyNumberFormat="1" applyFont="1" applyFill="1" applyBorder="1" applyAlignment="1">
      <alignment horizontal="center" wrapText="1"/>
    </xf>
    <xf numFmtId="1" fontId="42" fillId="0" borderId="116" xfId="3" applyNumberFormat="1" applyFont="1" applyBorder="1" applyAlignment="1" applyProtection="1">
      <alignment horizontal="center" wrapText="1"/>
    </xf>
    <xf numFmtId="0" fontId="42" fillId="0" borderId="117" xfId="0" applyFont="1" applyBorder="1" applyAlignment="1">
      <alignment horizontal="center" wrapText="1"/>
    </xf>
    <xf numFmtId="0" fontId="42" fillId="0" borderId="118" xfId="0" applyFont="1" applyBorder="1" applyAlignment="1">
      <alignment horizontal="center" wrapText="1"/>
    </xf>
    <xf numFmtId="169" fontId="42" fillId="12" borderId="116" xfId="3" applyNumberFormat="1" applyFont="1" applyFill="1" applyBorder="1" applyAlignment="1" applyProtection="1">
      <alignment horizontal="center" wrapText="1"/>
    </xf>
    <xf numFmtId="169" fontId="42" fillId="12" borderId="44" xfId="3" applyNumberFormat="1" applyFont="1" applyFill="1" applyBorder="1" applyAlignment="1" applyProtection="1">
      <alignment horizontal="center" wrapText="1"/>
    </xf>
    <xf numFmtId="0" fontId="42" fillId="12" borderId="118" xfId="0" applyFont="1" applyFill="1" applyBorder="1" applyAlignment="1">
      <alignment horizontal="center" wrapText="1"/>
    </xf>
    <xf numFmtId="2" fontId="42" fillId="12" borderId="117" xfId="0" applyNumberFormat="1" applyFont="1" applyFill="1" applyBorder="1" applyAlignment="1">
      <alignment horizontal="center" wrapText="1"/>
    </xf>
    <xf numFmtId="0" fontId="42" fillId="12" borderId="117" xfId="0" applyFont="1" applyFill="1" applyBorder="1" applyAlignment="1">
      <alignment horizontal="center" wrapText="1"/>
    </xf>
    <xf numFmtId="1" fontId="42" fillId="12" borderId="116" xfId="3" applyNumberFormat="1" applyFont="1" applyFill="1" applyBorder="1" applyAlignment="1" applyProtection="1">
      <alignment horizontal="center" wrapText="1"/>
    </xf>
    <xf numFmtId="1" fontId="42" fillId="12" borderId="117" xfId="0" applyNumberFormat="1" applyFont="1" applyFill="1" applyBorder="1" applyAlignment="1">
      <alignment horizontal="center" wrapText="1"/>
    </xf>
    <xf numFmtId="0" fontId="42" fillId="0" borderId="123" xfId="0" applyFont="1" applyBorder="1" applyAlignment="1">
      <alignment horizontal="center" wrapText="1"/>
    </xf>
    <xf numFmtId="0" fontId="42" fillId="0" borderId="124" xfId="0" applyFont="1" applyBorder="1" applyAlignment="1">
      <alignment horizontal="center" wrapText="1"/>
    </xf>
    <xf numFmtId="0" fontId="0" fillId="0" borderId="120" xfId="0" applyBorder="1"/>
    <xf numFmtId="0" fontId="42" fillId="13" borderId="57" xfId="0" applyFont="1" applyFill="1" applyBorder="1" applyAlignment="1">
      <alignment horizontal="center" wrapText="1"/>
    </xf>
    <xf numFmtId="0" fontId="0" fillId="0" borderId="121" xfId="0" applyBorder="1"/>
    <xf numFmtId="0" fontId="46" fillId="0" borderId="120" xfId="0" applyFont="1" applyBorder="1" applyAlignment="1">
      <alignment vertical="center"/>
    </xf>
    <xf numFmtId="0" fontId="46" fillId="0" borderId="126" xfId="0" applyFont="1" applyBorder="1" applyAlignment="1">
      <alignment vertical="center"/>
    </xf>
    <xf numFmtId="0" fontId="46" fillId="0" borderId="122" xfId="0" applyFont="1" applyBorder="1" applyAlignment="1">
      <alignment vertical="center"/>
    </xf>
    <xf numFmtId="0" fontId="46" fillId="0" borderId="44" xfId="0" applyFont="1" applyBorder="1" applyAlignment="1">
      <alignment vertical="center"/>
    </xf>
    <xf numFmtId="0" fontId="46" fillId="0" borderId="0" xfId="0" applyFont="1" applyAlignment="1">
      <alignment vertical="center"/>
    </xf>
    <xf numFmtId="0" fontId="46" fillId="0" borderId="127" xfId="0" applyFont="1" applyBorder="1" applyAlignment="1">
      <alignment vertical="center"/>
    </xf>
    <xf numFmtId="0" fontId="46" fillId="0" borderId="125" xfId="0" applyFont="1" applyBorder="1" applyAlignment="1">
      <alignment vertical="center"/>
    </xf>
    <xf numFmtId="0" fontId="46" fillId="0" borderId="118" xfId="0" applyFont="1" applyBorder="1" applyAlignment="1">
      <alignment vertical="center"/>
    </xf>
    <xf numFmtId="0" fontId="46" fillId="0" borderId="128" xfId="0" applyFont="1" applyBorder="1" applyAlignment="1">
      <alignment vertical="center"/>
    </xf>
    <xf numFmtId="0" fontId="46" fillId="0" borderId="116" xfId="0" applyFont="1" applyBorder="1" applyAlignment="1">
      <alignment vertical="center"/>
    </xf>
    <xf numFmtId="0" fontId="7" fillId="0" borderId="0" xfId="5" applyFont="1" applyAlignment="1">
      <alignment horizontal="left" vertical="center"/>
    </xf>
    <xf numFmtId="0" fontId="6" fillId="0" borderId="132" xfId="4" applyFont="1" applyBorder="1" applyAlignment="1">
      <alignment horizontal="left" vertical="center"/>
    </xf>
    <xf numFmtId="0" fontId="6" fillId="0" borderId="132" xfId="4" applyFont="1" applyBorder="1" applyAlignment="1">
      <alignment horizontal="left" vertical="center" wrapText="1"/>
    </xf>
    <xf numFmtId="0" fontId="3" fillId="0" borderId="132" xfId="0" applyFont="1" applyBorder="1" applyAlignment="1">
      <alignment horizontal="center" vertical="center"/>
    </xf>
    <xf numFmtId="0" fontId="3" fillId="0" borderId="132" xfId="0" applyFont="1" applyBorder="1" applyAlignment="1">
      <alignment vertical="center"/>
    </xf>
    <xf numFmtId="0" fontId="3" fillId="0" borderId="133" xfId="0" applyFont="1" applyBorder="1" applyAlignment="1">
      <alignment vertical="center"/>
    </xf>
    <xf numFmtId="0" fontId="3" fillId="0" borderId="73" xfId="0" applyFont="1" applyBorder="1" applyAlignment="1">
      <alignment vertical="center"/>
    </xf>
    <xf numFmtId="0" fontId="3" fillId="0" borderId="134" xfId="0" applyFont="1" applyBorder="1" applyAlignment="1">
      <alignment vertical="center"/>
    </xf>
    <xf numFmtId="165" fontId="9" fillId="0" borderId="132" xfId="6" applyNumberFormat="1" applyFont="1" applyFill="1" applyBorder="1" applyAlignment="1" applyProtection="1">
      <alignment horizontal="center" vertical="center"/>
    </xf>
    <xf numFmtId="0" fontId="9" fillId="0" borderId="132" xfId="0" applyFont="1" applyBorder="1" applyAlignment="1">
      <alignment horizontal="center" vertical="center"/>
    </xf>
    <xf numFmtId="0" fontId="6" fillId="0" borderId="81" xfId="4" applyFont="1" applyBorder="1" applyAlignment="1">
      <alignment horizontal="left" vertical="center"/>
    </xf>
    <xf numFmtId="0" fontId="7" fillId="0" borderId="81" xfId="5" applyFont="1" applyBorder="1" applyAlignment="1">
      <alignment horizontal="center" vertical="center"/>
    </xf>
    <xf numFmtId="0" fontId="16" fillId="0" borderId="0" xfId="0" applyFont="1" applyAlignment="1">
      <alignment horizontal="center" vertical="center"/>
    </xf>
    <xf numFmtId="171" fontId="6" fillId="0" borderId="0" xfId="4" applyNumberFormat="1" applyFont="1" applyAlignment="1">
      <alignment horizontal="right" vertical="center" wrapText="1"/>
    </xf>
    <xf numFmtId="0" fontId="7" fillId="3" borderId="10" xfId="5" applyFont="1" applyFill="1" applyBorder="1" applyAlignment="1" applyProtection="1">
      <alignment horizontal="center" vertical="center" wrapText="1"/>
      <protection locked="0"/>
    </xf>
    <xf numFmtId="165" fontId="9" fillId="5" borderId="19" xfId="6" applyNumberFormat="1" applyFont="1" applyFill="1" applyBorder="1" applyAlignment="1" applyProtection="1">
      <alignment horizontal="center" vertical="center" wrapText="1"/>
    </xf>
    <xf numFmtId="9" fontId="16" fillId="0" borderId="0" xfId="0" applyNumberFormat="1" applyFont="1" applyAlignment="1">
      <alignment vertical="center"/>
    </xf>
    <xf numFmtId="0" fontId="16" fillId="0" borderId="0" xfId="0" applyFont="1" applyAlignment="1">
      <alignment vertical="center"/>
    </xf>
    <xf numFmtId="9" fontId="9" fillId="13" borderId="0" xfId="0" applyNumberFormat="1" applyFont="1" applyFill="1" applyAlignment="1">
      <alignment horizontal="center" vertical="center"/>
    </xf>
    <xf numFmtId="0" fontId="56" fillId="12" borderId="112" xfId="0" applyFont="1" applyFill="1" applyBorder="1" applyAlignment="1">
      <alignment vertical="center" wrapText="1"/>
    </xf>
    <xf numFmtId="0" fontId="41" fillId="0" borderId="119" xfId="0" applyFont="1" applyBorder="1" applyAlignment="1">
      <alignment vertical="center"/>
    </xf>
    <xf numFmtId="0" fontId="41" fillId="0" borderId="50" xfId="0" applyFont="1" applyBorder="1" applyAlignment="1">
      <alignment vertical="center" wrapText="1"/>
    </xf>
    <xf numFmtId="0" fontId="41" fillId="12" borderId="51" xfId="0" applyFont="1" applyFill="1" applyBorder="1" applyAlignment="1">
      <alignment vertical="center" wrapText="1"/>
    </xf>
    <xf numFmtId="0" fontId="41" fillId="13" borderId="50" xfId="0" applyFont="1" applyFill="1" applyBorder="1" applyAlignment="1">
      <alignment vertical="center" wrapText="1"/>
    </xf>
    <xf numFmtId="0" fontId="41" fillId="0" borderId="50" xfId="0" applyFont="1" applyBorder="1" applyAlignment="1">
      <alignment vertical="center"/>
    </xf>
    <xf numFmtId="0" fontId="41" fillId="12" borderId="54" xfId="0" applyFont="1" applyFill="1" applyBorder="1" applyAlignment="1">
      <alignment wrapText="1"/>
    </xf>
    <xf numFmtId="0" fontId="41" fillId="12" borderId="52" xfId="0" applyFont="1" applyFill="1" applyBorder="1" applyAlignment="1">
      <alignment wrapText="1"/>
    </xf>
    <xf numFmtId="9" fontId="42" fillId="7" borderId="56" xfId="3" applyFont="1" applyFill="1" applyBorder="1" applyAlignment="1" applyProtection="1">
      <alignment horizontal="center" wrapText="1"/>
    </xf>
    <xf numFmtId="0" fontId="57" fillId="7" borderId="78" xfId="0" applyFont="1" applyFill="1" applyBorder="1" applyAlignment="1">
      <alignment horizontal="center" vertical="center"/>
    </xf>
    <xf numFmtId="169" fontId="42" fillId="7" borderId="56" xfId="3" applyNumberFormat="1" applyFont="1" applyFill="1" applyBorder="1" applyAlignment="1" applyProtection="1">
      <alignment horizontal="center" wrapText="1"/>
    </xf>
    <xf numFmtId="1" fontId="42" fillId="7" borderId="56" xfId="3" applyNumberFormat="1" applyFont="1" applyFill="1" applyBorder="1" applyAlignment="1" applyProtection="1">
      <alignment horizontal="center" wrapText="1"/>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25" fillId="0" borderId="33" xfId="0" applyFont="1" applyBorder="1" applyAlignment="1">
      <alignment horizontal="center" vertical="center"/>
    </xf>
    <xf numFmtId="164" fontId="31" fillId="8" borderId="12" xfId="2" applyFont="1" applyFill="1" applyBorder="1" applyAlignment="1" applyProtection="1">
      <alignment horizontal="center" vertical="center"/>
    </xf>
    <xf numFmtId="164" fontId="31" fillId="8" borderId="15" xfId="2" applyFont="1" applyFill="1" applyBorder="1" applyAlignment="1" applyProtection="1">
      <alignment horizontal="center" vertical="center"/>
    </xf>
    <xf numFmtId="164" fontId="31" fillId="8" borderId="18" xfId="2" applyFont="1" applyFill="1" applyBorder="1" applyAlignment="1" applyProtection="1">
      <alignment horizontal="center" vertical="center"/>
    </xf>
    <xf numFmtId="0" fontId="38" fillId="10" borderId="30" xfId="0" applyFont="1" applyFill="1" applyBorder="1" applyAlignment="1">
      <alignment horizontal="center" wrapText="1"/>
    </xf>
    <xf numFmtId="0" fontId="38" fillId="10" borderId="31" xfId="0" applyFont="1" applyFill="1" applyBorder="1" applyAlignment="1">
      <alignment horizontal="center" wrapText="1"/>
    </xf>
    <xf numFmtId="164" fontId="31" fillId="3" borderId="6" xfId="2" applyFont="1" applyFill="1" applyBorder="1" applyAlignment="1" applyProtection="1">
      <alignment horizontal="center" vertical="center"/>
      <protection locked="0"/>
    </xf>
    <xf numFmtId="164" fontId="31" fillId="3" borderId="9" xfId="2" applyFont="1" applyFill="1" applyBorder="1" applyAlignment="1" applyProtection="1">
      <alignment horizontal="center" vertical="center"/>
      <protection locked="0"/>
    </xf>
    <xf numFmtId="164" fontId="31" fillId="3" borderId="7" xfId="2" applyFont="1" applyFill="1" applyBorder="1" applyAlignment="1" applyProtection="1">
      <alignment horizontal="center" vertical="center"/>
      <protection locked="0"/>
    </xf>
    <xf numFmtId="165" fontId="9" fillId="5" borderId="19" xfId="6" applyNumberFormat="1" applyFont="1" applyFill="1" applyBorder="1" applyAlignment="1" applyProtection="1">
      <alignment horizontal="center" vertical="center" wrapText="1"/>
    </xf>
    <xf numFmtId="165" fontId="9" fillId="5" borderId="41" xfId="6" applyNumberFormat="1" applyFont="1" applyFill="1" applyBorder="1" applyAlignment="1" applyProtection="1">
      <alignment horizontal="center" vertical="center" wrapText="1"/>
    </xf>
    <xf numFmtId="164" fontId="31" fillId="0" borderId="0" xfId="2" applyFont="1" applyFill="1" applyBorder="1" applyAlignment="1" applyProtection="1">
      <alignment horizontal="center" vertical="center"/>
    </xf>
    <xf numFmtId="164" fontId="31" fillId="0" borderId="17" xfId="2" applyFont="1" applyFill="1" applyBorder="1" applyAlignment="1" applyProtection="1">
      <alignment horizontal="center" vertical="center"/>
    </xf>
    <xf numFmtId="165" fontId="9" fillId="5" borderId="36" xfId="6" applyNumberFormat="1" applyFont="1" applyFill="1" applyBorder="1" applyAlignment="1" applyProtection="1">
      <alignment horizontal="center" vertical="center" wrapText="1"/>
    </xf>
    <xf numFmtId="0" fontId="2" fillId="2" borderId="45" xfId="0" applyFont="1" applyFill="1" applyBorder="1" applyAlignment="1">
      <alignment horizontal="center" vertical="center" wrapText="1"/>
    </xf>
    <xf numFmtId="0" fontId="2" fillId="2" borderId="46"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6" fillId="7" borderId="48" xfId="0" applyFont="1" applyFill="1" applyBorder="1" applyAlignment="1">
      <alignment horizontal="center" vertical="center"/>
    </xf>
    <xf numFmtId="165" fontId="9" fillId="5" borderId="11" xfId="6" applyNumberFormat="1" applyFont="1" applyFill="1" applyBorder="1" applyAlignment="1" applyProtection="1">
      <alignment horizontal="center" vertical="center"/>
    </xf>
    <xf numFmtId="165" fontId="9" fillId="5" borderId="0" xfId="6" applyNumberFormat="1" applyFont="1" applyFill="1" applyBorder="1" applyAlignment="1" applyProtection="1">
      <alignment horizontal="center" vertical="center"/>
    </xf>
    <xf numFmtId="0" fontId="3" fillId="6" borderId="135" xfId="0" applyFont="1" applyFill="1" applyBorder="1" applyAlignment="1">
      <alignment horizontal="center" vertical="center" wrapText="1"/>
    </xf>
    <xf numFmtId="0" fontId="3" fillId="6" borderId="136" xfId="0" applyFont="1" applyFill="1" applyBorder="1" applyAlignment="1">
      <alignment horizontal="center" vertical="center" wrapText="1"/>
    </xf>
    <xf numFmtId="0" fontId="3" fillId="6" borderId="137" xfId="0" applyFont="1" applyFill="1" applyBorder="1" applyAlignment="1">
      <alignment horizontal="center" vertical="center" wrapText="1"/>
    </xf>
    <xf numFmtId="0" fontId="6" fillId="0" borderId="17" xfId="4" applyFont="1" applyBorder="1" applyAlignment="1">
      <alignment horizontal="left" vertical="center" wrapText="1"/>
    </xf>
    <xf numFmtId="0" fontId="6" fillId="0" borderId="0" xfId="4" applyFont="1" applyAlignment="1">
      <alignment horizontal="left" vertical="center" wrapText="1"/>
    </xf>
    <xf numFmtId="167" fontId="31" fillId="3" borderId="6" xfId="1" applyNumberFormat="1" applyFont="1" applyFill="1" applyBorder="1" applyAlignment="1" applyProtection="1">
      <alignment horizontal="center" vertical="center"/>
      <protection locked="0"/>
    </xf>
    <xf numFmtId="167" fontId="31" fillId="3" borderId="7" xfId="1" applyNumberFormat="1" applyFont="1" applyFill="1" applyBorder="1" applyAlignment="1" applyProtection="1">
      <alignment horizontal="center" vertical="center"/>
      <protection locked="0"/>
    </xf>
    <xf numFmtId="0" fontId="3" fillId="6" borderId="12"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7" fillId="3" borderId="6" xfId="5" applyFont="1" applyFill="1" applyBorder="1" applyAlignment="1" applyProtection="1">
      <alignment horizontal="center" vertical="center"/>
      <protection locked="0"/>
    </xf>
    <xf numFmtId="0" fontId="7" fillId="3" borderId="7" xfId="5" applyFont="1" applyFill="1" applyBorder="1" applyAlignment="1" applyProtection="1">
      <alignment horizontal="center" vertical="center"/>
      <protection locked="0"/>
    </xf>
    <xf numFmtId="0" fontId="6" fillId="13" borderId="17" xfId="4" applyFont="1" applyFill="1" applyBorder="1" applyAlignment="1">
      <alignment horizontal="left" vertical="center" wrapText="1"/>
    </xf>
    <xf numFmtId="0" fontId="6" fillId="13" borderId="0" xfId="4" applyFont="1" applyFill="1" applyAlignment="1">
      <alignment horizontal="left" vertical="center" wrapText="1"/>
    </xf>
    <xf numFmtId="0" fontId="7" fillId="3" borderId="6" xfId="5" applyFont="1" applyFill="1" applyBorder="1" applyAlignment="1" applyProtection="1">
      <alignment horizontal="left" vertical="center"/>
      <protection locked="0"/>
    </xf>
    <xf numFmtId="0" fontId="7" fillId="3" borderId="9" xfId="5" applyFont="1" applyFill="1" applyBorder="1" applyAlignment="1" applyProtection="1">
      <alignment horizontal="left" vertical="center"/>
      <protection locked="0"/>
    </xf>
    <xf numFmtId="0" fontId="7" fillId="3" borderId="7" xfId="5" applyFont="1" applyFill="1" applyBorder="1" applyAlignment="1" applyProtection="1">
      <alignment horizontal="left" vertical="center"/>
      <protection locked="0"/>
    </xf>
    <xf numFmtId="165" fontId="31" fillId="3" borderId="6" xfId="1" applyNumberFormat="1" applyFont="1" applyFill="1" applyBorder="1" applyAlignment="1" applyProtection="1">
      <alignment horizontal="center" vertical="center"/>
      <protection locked="0"/>
    </xf>
    <xf numFmtId="165" fontId="31" fillId="3" borderId="7" xfId="1" applyNumberFormat="1" applyFont="1" applyFill="1" applyBorder="1" applyAlignment="1" applyProtection="1">
      <alignment horizontal="center" vertical="center"/>
      <protection locked="0"/>
    </xf>
    <xf numFmtId="14" fontId="31" fillId="3" borderId="6" xfId="1" applyNumberFormat="1" applyFont="1" applyFill="1" applyBorder="1" applyAlignment="1" applyProtection="1">
      <alignment horizontal="center" vertical="center"/>
      <protection locked="0"/>
    </xf>
    <xf numFmtId="14" fontId="31" fillId="3" borderId="7" xfId="1" applyNumberFormat="1" applyFont="1" applyFill="1" applyBorder="1" applyAlignment="1" applyProtection="1">
      <alignment horizontal="center" vertical="center"/>
      <protection locked="0"/>
    </xf>
    <xf numFmtId="43" fontId="6" fillId="0" borderId="17" xfId="1" applyFont="1" applyFill="1" applyBorder="1" applyAlignment="1" applyProtection="1">
      <alignment horizontal="center" vertical="center" wrapText="1"/>
    </xf>
    <xf numFmtId="43" fontId="6" fillId="0" borderId="0" xfId="1" applyFont="1" applyFill="1" applyBorder="1" applyAlignment="1" applyProtection="1">
      <alignment horizontal="center" vertical="center" wrapText="1"/>
    </xf>
    <xf numFmtId="0" fontId="34" fillId="4" borderId="0" xfId="0" applyFont="1" applyFill="1" applyAlignment="1">
      <alignment horizontal="left" vertical="center"/>
    </xf>
    <xf numFmtId="0" fontId="3" fillId="6" borderId="69" xfId="0" applyFont="1" applyFill="1" applyBorder="1" applyAlignment="1">
      <alignment horizontal="center" vertical="center" wrapText="1"/>
    </xf>
    <xf numFmtId="0" fontId="3" fillId="6" borderId="70" xfId="0" applyFont="1" applyFill="1" applyBorder="1" applyAlignment="1">
      <alignment horizontal="center" vertical="center" wrapText="1"/>
    </xf>
    <xf numFmtId="0" fontId="3" fillId="6" borderId="71" xfId="0" applyFont="1" applyFill="1" applyBorder="1" applyAlignment="1">
      <alignment horizontal="center" vertical="center" wrapText="1"/>
    </xf>
    <xf numFmtId="0" fontId="7" fillId="9" borderId="6" xfId="5" applyFont="1" applyFill="1" applyBorder="1" applyAlignment="1">
      <alignment horizontal="center" vertical="center"/>
    </xf>
    <xf numFmtId="0" fontId="7" fillId="9" borderId="7" xfId="5" applyFont="1" applyFill="1" applyBorder="1" applyAlignment="1">
      <alignment horizontal="center" vertical="center"/>
    </xf>
    <xf numFmtId="0" fontId="6" fillId="0" borderId="66" xfId="4" applyFont="1" applyBorder="1" applyAlignment="1">
      <alignment horizontal="left" vertical="center"/>
    </xf>
    <xf numFmtId="0" fontId="6" fillId="0" borderId="67" xfId="4" applyFont="1" applyBorder="1" applyAlignment="1">
      <alignment horizontal="left" vertical="center"/>
    </xf>
    <xf numFmtId="0" fontId="6" fillId="0" borderId="68" xfId="4" applyFont="1" applyBorder="1" applyAlignment="1">
      <alignment horizontal="left" vertical="center"/>
    </xf>
    <xf numFmtId="0" fontId="6" fillId="0" borderId="66" xfId="4" applyFont="1" applyBorder="1" applyAlignment="1">
      <alignment horizontal="left" vertical="center" wrapText="1"/>
    </xf>
    <xf numFmtId="0" fontId="6" fillId="0" borderId="67" xfId="4" applyFont="1" applyBorder="1" applyAlignment="1">
      <alignment horizontal="left" vertical="center" wrapText="1"/>
    </xf>
    <xf numFmtId="0" fontId="6" fillId="0" borderId="68" xfId="4" applyFont="1" applyBorder="1" applyAlignment="1">
      <alignment horizontal="left" vertical="center" wrapText="1"/>
    </xf>
    <xf numFmtId="0" fontId="7" fillId="3" borderId="66" xfId="5" applyFont="1" applyFill="1" applyBorder="1" applyAlignment="1" applyProtection="1">
      <alignment horizontal="center" vertical="center"/>
      <protection locked="0"/>
    </xf>
    <xf numFmtId="0" fontId="7" fillId="3" borderId="67" xfId="5" applyFont="1" applyFill="1" applyBorder="1" applyAlignment="1" applyProtection="1">
      <alignment horizontal="center" vertical="center"/>
      <protection locked="0"/>
    </xf>
    <xf numFmtId="0" fontId="7" fillId="3" borderId="68" xfId="5" applyFont="1" applyFill="1" applyBorder="1" applyAlignment="1" applyProtection="1">
      <alignment horizontal="center" vertical="center"/>
      <protection locked="0"/>
    </xf>
    <xf numFmtId="0" fontId="3" fillId="2" borderId="138" xfId="0" applyFont="1" applyFill="1" applyBorder="1" applyAlignment="1">
      <alignment horizontal="center" vertical="center" textRotation="90"/>
    </xf>
    <xf numFmtId="0" fontId="3" fillId="2" borderId="139" xfId="0" applyFont="1" applyFill="1" applyBorder="1" applyAlignment="1">
      <alignment horizontal="center" vertical="center" textRotation="90"/>
    </xf>
    <xf numFmtId="0" fontId="3" fillId="2" borderId="140" xfId="0" applyFont="1" applyFill="1" applyBorder="1" applyAlignment="1">
      <alignment horizontal="center" vertical="center" textRotation="90"/>
    </xf>
    <xf numFmtId="10" fontId="31" fillId="3" borderId="107" xfId="5" applyNumberFormat="1" applyFont="1" applyFill="1" applyBorder="1" applyAlignment="1" applyProtection="1">
      <alignment horizontal="center" vertical="center"/>
      <protection locked="0"/>
    </xf>
    <xf numFmtId="10" fontId="31" fillId="3" borderId="108" xfId="5" applyNumberFormat="1" applyFont="1" applyFill="1" applyBorder="1" applyAlignment="1" applyProtection="1">
      <alignment horizontal="center" vertical="center"/>
      <protection locked="0"/>
    </xf>
    <xf numFmtId="0" fontId="16" fillId="0" borderId="43" xfId="0" applyFont="1" applyBorder="1" applyAlignment="1">
      <alignment horizontal="center" vertical="center"/>
    </xf>
    <xf numFmtId="0" fontId="16" fillId="0" borderId="44" xfId="0" applyFont="1" applyBorder="1" applyAlignment="1">
      <alignment horizontal="center" vertical="center"/>
    </xf>
    <xf numFmtId="0" fontId="6" fillId="7" borderId="17" xfId="4" applyFont="1" applyFill="1" applyBorder="1" applyAlignment="1">
      <alignment horizontal="left" vertical="center"/>
    </xf>
    <xf numFmtId="0" fontId="6" fillId="7" borderId="0" xfId="4" applyFont="1" applyFill="1" applyAlignment="1">
      <alignment horizontal="left" vertical="center"/>
    </xf>
    <xf numFmtId="0" fontId="6" fillId="13" borderId="0" xfId="4" applyFont="1" applyFill="1" applyAlignment="1">
      <alignment horizontal="left" vertical="center"/>
    </xf>
    <xf numFmtId="0" fontId="6" fillId="13" borderId="72" xfId="4" applyFont="1" applyFill="1" applyBorder="1" applyAlignment="1">
      <alignment horizontal="left" vertical="center"/>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170" fontId="31" fillId="3" borderId="104" xfId="5" applyNumberFormat="1" applyFont="1" applyFill="1" applyBorder="1" applyAlignment="1" applyProtection="1">
      <alignment horizontal="center" vertical="center"/>
      <protection locked="0"/>
    </xf>
    <xf numFmtId="170" fontId="31" fillId="3" borderId="88" xfId="5" applyNumberFormat="1" applyFont="1" applyFill="1" applyBorder="1" applyAlignment="1" applyProtection="1">
      <alignment horizontal="center" vertical="center"/>
      <protection locked="0"/>
    </xf>
    <xf numFmtId="0" fontId="31" fillId="3" borderId="100" xfId="5" applyFont="1" applyFill="1" applyBorder="1" applyAlignment="1" applyProtection="1">
      <alignment horizontal="center" vertical="center"/>
      <protection locked="0"/>
    </xf>
    <xf numFmtId="0" fontId="31" fillId="3" borderId="67" xfId="5" applyFont="1" applyFill="1" applyBorder="1" applyAlignment="1" applyProtection="1">
      <alignment horizontal="center" vertical="center"/>
      <protection locked="0"/>
    </xf>
    <xf numFmtId="0" fontId="31" fillId="3" borderId="68" xfId="5" applyFont="1" applyFill="1" applyBorder="1" applyAlignment="1" applyProtection="1">
      <alignment horizontal="center" vertical="center"/>
      <protection locked="0"/>
    </xf>
    <xf numFmtId="168" fontId="31" fillId="15" borderId="101" xfId="5" applyNumberFormat="1" applyFont="1" applyFill="1" applyBorder="1" applyAlignment="1" applyProtection="1">
      <alignment horizontal="center" vertical="center"/>
      <protection locked="0"/>
    </xf>
    <xf numFmtId="168" fontId="31" fillId="15" borderId="102" xfId="5" applyNumberFormat="1" applyFont="1" applyFill="1" applyBorder="1" applyAlignment="1" applyProtection="1">
      <alignment horizontal="center" vertical="center"/>
      <protection locked="0"/>
    </xf>
    <xf numFmtId="168" fontId="31" fillId="15" borderId="103" xfId="5" applyNumberFormat="1" applyFont="1" applyFill="1" applyBorder="1" applyAlignment="1" applyProtection="1">
      <alignment horizontal="center" vertical="center"/>
      <protection locked="0"/>
    </xf>
    <xf numFmtId="0" fontId="54" fillId="14" borderId="97" xfId="0" applyFont="1" applyFill="1" applyBorder="1" applyAlignment="1">
      <alignment horizontal="center" vertical="center" wrapText="1"/>
    </xf>
    <xf numFmtId="0" fontId="54" fillId="14" borderId="98" xfId="0" applyFont="1" applyFill="1" applyBorder="1" applyAlignment="1">
      <alignment horizontal="center" vertical="center" wrapText="1"/>
    </xf>
    <xf numFmtId="0" fontId="54" fillId="14" borderId="99" xfId="0" applyFont="1" applyFill="1" applyBorder="1" applyAlignment="1">
      <alignment horizontal="center" vertical="center" wrapText="1"/>
    </xf>
    <xf numFmtId="0" fontId="2" fillId="14" borderId="90" xfId="0" applyFont="1" applyFill="1" applyBorder="1" applyAlignment="1">
      <alignment horizontal="center"/>
    </xf>
    <xf numFmtId="0" fontId="2" fillId="14" borderId="91" xfId="0" applyFont="1" applyFill="1" applyBorder="1" applyAlignment="1">
      <alignment horizontal="center"/>
    </xf>
    <xf numFmtId="0" fontId="0" fillId="14" borderId="93" xfId="0" applyFill="1" applyBorder="1" applyAlignment="1">
      <alignment horizontal="center"/>
    </xf>
    <xf numFmtId="169" fontId="0" fillId="14" borderId="93" xfId="3" applyNumberFormat="1" applyFont="1" applyFill="1" applyBorder="1" applyAlignment="1">
      <alignment horizontal="center"/>
    </xf>
    <xf numFmtId="0" fontId="0" fillId="14" borderId="95" xfId="0" applyFill="1" applyBorder="1" applyAlignment="1">
      <alignment horizontal="center"/>
    </xf>
    <xf numFmtId="0" fontId="0" fillId="14" borderId="96" xfId="0" applyFill="1" applyBorder="1" applyAlignment="1">
      <alignment horizontal="center"/>
    </xf>
    <xf numFmtId="0" fontId="41" fillId="0" borderId="129" xfId="0" applyFont="1" applyBorder="1" applyAlignment="1">
      <alignment horizontal="center" vertical="center"/>
    </xf>
    <xf numFmtId="0" fontId="41" fillId="0" borderId="130" xfId="0" applyFont="1" applyBorder="1" applyAlignment="1">
      <alignment horizontal="center" vertical="center"/>
    </xf>
    <xf numFmtId="0" fontId="41" fillId="0" borderId="131" xfId="0" applyFont="1" applyBorder="1" applyAlignment="1">
      <alignment horizontal="center" vertical="center"/>
    </xf>
    <xf numFmtId="0" fontId="41" fillId="0" borderId="114" xfId="0" applyFont="1" applyBorder="1" applyAlignment="1">
      <alignment horizontal="center" vertical="center" wrapText="1"/>
    </xf>
    <xf numFmtId="0" fontId="41" fillId="0" borderId="115" xfId="0" applyFont="1" applyBorder="1" applyAlignment="1">
      <alignment horizontal="center" vertical="center" wrapText="1"/>
    </xf>
    <xf numFmtId="0" fontId="41" fillId="12" borderId="54" xfId="0" applyFont="1" applyFill="1" applyBorder="1" applyAlignment="1">
      <alignment horizontal="center" wrapText="1"/>
    </xf>
    <xf numFmtId="0" fontId="41" fillId="12" borderId="52" xfId="0" applyFont="1" applyFill="1" applyBorder="1" applyAlignment="1">
      <alignment horizontal="center" wrapText="1"/>
    </xf>
    <xf numFmtId="0" fontId="41" fillId="0" borderId="129" xfId="0" applyFont="1" applyBorder="1" applyAlignment="1">
      <alignment horizontal="center" vertical="center" wrapText="1"/>
    </xf>
    <xf numFmtId="0" fontId="41" fillId="0" borderId="130" xfId="0" applyFont="1" applyBorder="1" applyAlignment="1">
      <alignment horizontal="center" vertical="center" wrapText="1"/>
    </xf>
    <xf numFmtId="0" fontId="41" fillId="0" borderId="131" xfId="0" applyFont="1" applyBorder="1" applyAlignment="1">
      <alignment horizontal="center" vertical="center" wrapText="1"/>
    </xf>
  </cellXfs>
  <cellStyles count="10">
    <cellStyle name="Millares" xfId="1" builtinId="3"/>
    <cellStyle name="Millares 3" xfId="6" xr:uid="{00000000-0005-0000-0000-000001000000}"/>
    <cellStyle name="Moneda" xfId="2" builtinId="4"/>
    <cellStyle name="Moneda 2" xfId="8" xr:uid="{00000000-0005-0000-0000-000003000000}"/>
    <cellStyle name="Normal" xfId="0" builtinId="0"/>
    <cellStyle name="Normal 3" xfId="5" xr:uid="{00000000-0005-0000-0000-000005000000}"/>
    <cellStyle name="Normal 4" xfId="4" xr:uid="{00000000-0005-0000-0000-000006000000}"/>
    <cellStyle name="Porcentaje" xfId="3" builtinId="5"/>
    <cellStyle name="Porcentual 3" xfId="9" xr:uid="{00000000-0005-0000-0000-000008000000}"/>
    <cellStyle name="Porcentual 4" xfId="7" xr:uid="{00000000-0005-0000-0000-000009000000}"/>
  </cellStyles>
  <dxfs count="59">
    <dxf>
      <font>
        <b val="0"/>
        <i/>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1" hidden="0"/>
    </dxf>
    <dxf>
      <font>
        <b/>
        <i/>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ck">
          <color indexed="64"/>
        </left>
        <right style="thick">
          <color indexed="64"/>
        </right>
        <top style="thick">
          <color indexed="64"/>
        </top>
        <bottom/>
        <vertical/>
        <horizontal/>
      </border>
      <protection locked="1" hidden="0"/>
    </dxf>
    <dxf>
      <font>
        <b/>
        <i val="0"/>
        <strike val="0"/>
        <condense val="0"/>
        <extend val="0"/>
        <outline val="0"/>
        <shadow val="0"/>
        <u val="none"/>
        <vertAlign val="baseline"/>
        <sz val="8"/>
        <color theme="1"/>
        <name val="Arial"/>
        <family val="2"/>
        <scheme val="none"/>
      </font>
      <fill>
        <patternFill patternType="solid">
          <fgColor indexed="64"/>
          <bgColor theme="0" tint="-0.249977111117893"/>
        </patternFill>
      </fill>
      <alignment horizontal="general" vertical="center" textRotation="0" wrapText="1" indent="0" justifyLastLine="0" shrinkToFit="0" readingOrder="0"/>
      <border diagonalUp="0" diagonalDown="0">
        <left/>
        <right style="thick">
          <color indexed="64"/>
        </right>
        <top/>
        <bottom/>
        <vertical/>
        <horizontal/>
      </border>
      <protection locked="1" hidden="0"/>
    </dxf>
    <dxf>
      <font>
        <b val="0"/>
        <i val="0"/>
        <strike val="0"/>
        <condense val="0"/>
        <extend val="0"/>
        <outline val="0"/>
        <shadow val="0"/>
        <u val="none"/>
        <vertAlign val="baseline"/>
        <sz val="11"/>
        <color theme="1"/>
        <name val="Arial"/>
        <family val="2"/>
        <scheme val="none"/>
      </font>
      <protection locked="1" hidden="0"/>
    </dxf>
    <dxf>
      <font>
        <color theme="0" tint="-0.14996795556505021"/>
      </font>
    </dxf>
    <dxf>
      <font>
        <color theme="0" tint="-0.14996795556505021"/>
      </font>
    </dxf>
    <dxf>
      <font>
        <color theme="0" tint="-0.14996795556505021"/>
      </font>
      <fill>
        <patternFill>
          <bgColor theme="0" tint="-0.14996795556505021"/>
        </patternFill>
      </fill>
    </dxf>
    <dxf>
      <fill>
        <patternFill>
          <bgColor rgb="FFFF0000"/>
        </patternFill>
      </fill>
    </dxf>
    <dxf>
      <font>
        <b/>
        <i val="0"/>
        <color theme="0"/>
      </font>
      <fill>
        <gradientFill type="path" left="0.5" right="0.5" top="0.5" bottom="0.5">
          <stop position="0">
            <color rgb="FFFF0000"/>
          </stop>
          <stop position="1">
            <color rgb="FFC00000"/>
          </stop>
        </gradientFill>
      </fill>
    </dxf>
    <dxf>
      <fill>
        <patternFill>
          <bgColor rgb="FFFF0000"/>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bgColor theme="0" tint="-0.14996795556505021"/>
        </patternFill>
      </fill>
    </dxf>
    <dxf>
      <font>
        <color theme="0" tint="-0.14996795556505021"/>
      </font>
    </dxf>
    <dxf>
      <font>
        <color theme="0"/>
      </font>
      <fill>
        <patternFill>
          <bgColor theme="0"/>
        </patternFill>
      </fill>
    </dxf>
    <dxf>
      <font>
        <b/>
        <i val="0"/>
        <color theme="0"/>
      </font>
      <fill>
        <gradientFill type="path" left="0.5" right="0.5" top="0.5" bottom="0.5">
          <stop position="0">
            <color rgb="FFFF0000"/>
          </stop>
          <stop position="1">
            <color rgb="FFC00000"/>
          </stop>
        </gradient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T$1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4</xdr:row>
          <xdr:rowOff>28575</xdr:rowOff>
        </xdr:from>
        <xdr:to>
          <xdr:col>4</xdr:col>
          <xdr:colOff>1181100</xdr:colOff>
          <xdr:row>5</xdr:row>
          <xdr:rowOff>104775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Limpiar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14</xdr:row>
          <xdr:rowOff>95250</xdr:rowOff>
        </xdr:from>
        <xdr:to>
          <xdr:col>12</xdr:col>
          <xdr:colOff>1590675</xdr:colOff>
          <xdr:row>16</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EF89DF-FE34-45EB-B2E6-D4E688C41346}" name="Tabla1" displayName="Tabla1" ref="A2:F402" totalsRowShown="0">
  <autoFilter ref="A2:F402" xr:uid="{44EF89DF-FE34-45EB-B2E6-D4E688C41346}">
    <filterColumn colId="5">
      <customFilters>
        <customFilter operator="notEqual" val=" "/>
      </customFilters>
    </filterColumn>
  </autoFilter>
  <tableColumns count="6">
    <tableColumn id="1" xr3:uid="{E30660C4-E1A4-4CAC-97D2-76C56EF8EC38}" name="Sector" dataDxfId="3"/>
    <tableColumn id="2" xr3:uid="{ACC62A6D-78BA-45E4-B2F6-76F1E42CD7A8}" name="Factor" dataDxfId="2"/>
    <tableColumn id="3" xr3:uid="{38FC3FF3-91EA-4A9C-B35C-1BC4FAECF0A6}" name="Indicador" dataDxfId="1"/>
    <tableColumn id="4" xr3:uid="{FA7D1C5F-ABC8-44B0-A892-14D3CFBC621C}" name="Mínimo"/>
    <tableColumn id="5" xr3:uid="{E81616EB-4364-4A09-9ADC-DB96D3241C21}" name="Máximo"/>
    <tableColumn id="6" xr3:uid="{8811803A-6BEC-466E-8360-8243099596B4}" name="Puntos" dataDxfId="0"/>
  </tableColumns>
  <tableStyleInfo name="TableStyleLight1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A133"/>
  <sheetViews>
    <sheetView showGridLines="0" showRowColHeaders="0" tabSelected="1" topLeftCell="A28" zoomScale="130" zoomScaleNormal="130" workbookViewId="0">
      <selection activeCell="M82" sqref="M82"/>
    </sheetView>
  </sheetViews>
  <sheetFormatPr baseColWidth="10" defaultColWidth="11.42578125" defaultRowHeight="12.75"/>
  <cols>
    <col min="1" max="1" width="1.85546875" style="7" customWidth="1"/>
    <col min="2" max="2" width="1.7109375" style="7" customWidth="1"/>
    <col min="3" max="3" width="5.7109375" style="7" customWidth="1"/>
    <col min="4" max="4" width="1.42578125" style="7" customWidth="1"/>
    <col min="5" max="5" width="20.5703125" style="7" customWidth="1"/>
    <col min="6" max="6" width="15.5703125" style="8" customWidth="1"/>
    <col min="7" max="7" width="9.5703125" style="8" customWidth="1"/>
    <col min="8" max="8" width="8" style="8" customWidth="1"/>
    <col min="9" max="9" width="6" style="8" customWidth="1"/>
    <col min="10" max="10" width="2.85546875" style="8" customWidth="1"/>
    <col min="11" max="11" width="26" style="8" customWidth="1"/>
    <col min="12" max="12" width="2.7109375" style="8" customWidth="1"/>
    <col min="13" max="13" width="34.7109375" style="8" customWidth="1"/>
    <col min="14" max="14" width="2.5703125" style="8" customWidth="1"/>
    <col min="15" max="15" width="35.5703125" style="9" customWidth="1"/>
    <col min="16" max="16" width="13.5703125" style="7" bestFit="1" customWidth="1"/>
    <col min="17" max="17" width="4.42578125" style="7" customWidth="1"/>
    <col min="18" max="18" width="1.7109375" style="7" customWidth="1"/>
    <col min="19" max="19" width="5.140625" style="10" hidden="1" customWidth="1"/>
    <col min="20" max="20" width="10.85546875" style="11" hidden="1" customWidth="1"/>
    <col min="21" max="21" width="15.140625" style="11" hidden="1" customWidth="1"/>
    <col min="22" max="22" width="11.42578125" style="11" hidden="1" customWidth="1"/>
    <col min="23" max="23" width="15.140625" style="11" hidden="1" customWidth="1"/>
    <col min="24" max="24" width="18.7109375" style="10" hidden="1" customWidth="1"/>
    <col min="25" max="25" width="14.140625" style="7" hidden="1" customWidth="1"/>
    <col min="26" max="28" width="11.42578125" style="7" hidden="1" customWidth="1"/>
    <col min="29" max="29" width="17.28515625" style="7" hidden="1" customWidth="1"/>
    <col min="30" max="30" width="11.42578125" style="7" hidden="1" customWidth="1"/>
    <col min="31" max="31" width="15.28515625" style="7" hidden="1" customWidth="1"/>
    <col min="32" max="32" width="14.85546875" style="7" hidden="1" customWidth="1"/>
    <col min="33" max="33" width="14.140625" style="7" hidden="1" customWidth="1"/>
    <col min="34" max="34" width="13.28515625" style="7" hidden="1" customWidth="1"/>
    <col min="35" max="35" width="14.5703125" style="7" hidden="1" customWidth="1"/>
    <col min="36" max="44" width="11.42578125" style="7" hidden="1" customWidth="1"/>
    <col min="45" max="45" width="11" style="7" hidden="1" customWidth="1"/>
    <col min="46" max="46" width="24.7109375" style="7" hidden="1" customWidth="1"/>
    <col min="47" max="53" width="11.42578125" style="7" hidden="1" customWidth="1"/>
    <col min="54" max="57" width="0" style="7" hidden="1" customWidth="1"/>
    <col min="58" max="16384" width="11.42578125" style="7"/>
  </cols>
  <sheetData>
    <row r="1" spans="1:53" ht="9.75" customHeight="1" thickBot="1"/>
    <row r="2" spans="1:53" ht="9.9499999999999993" customHeight="1" thickTop="1">
      <c r="B2" s="12"/>
      <c r="C2" s="13"/>
      <c r="D2" s="13"/>
      <c r="E2" s="13"/>
      <c r="F2" s="14"/>
      <c r="G2" s="14"/>
      <c r="H2" s="14"/>
      <c r="I2" s="14"/>
      <c r="J2" s="14"/>
      <c r="K2" s="14"/>
      <c r="L2" s="14"/>
      <c r="M2" s="14"/>
      <c r="N2" s="14"/>
      <c r="O2" s="15"/>
      <c r="P2" s="13"/>
      <c r="Q2" s="13"/>
      <c r="R2" s="16"/>
    </row>
    <row r="3" spans="1:53" ht="48.75" customHeight="1">
      <c r="B3" s="17"/>
      <c r="C3" s="312" t="s">
        <v>214</v>
      </c>
      <c r="D3" s="313"/>
      <c r="E3" s="313"/>
      <c r="F3" s="313"/>
      <c r="G3" s="313"/>
      <c r="H3" s="313"/>
      <c r="I3" s="313"/>
      <c r="J3" s="313"/>
      <c r="K3" s="313"/>
      <c r="L3" s="313"/>
      <c r="M3" s="313"/>
      <c r="N3" s="313"/>
      <c r="O3" s="313"/>
      <c r="P3" s="313"/>
      <c r="Q3" s="314"/>
      <c r="R3" s="18"/>
    </row>
    <row r="4" spans="1:53">
      <c r="B4" s="17"/>
      <c r="C4" s="315" t="s">
        <v>122</v>
      </c>
      <c r="D4" s="315"/>
      <c r="E4" s="315"/>
      <c r="F4" s="315"/>
      <c r="G4" s="315"/>
      <c r="H4" s="315"/>
      <c r="I4" s="315"/>
      <c r="J4" s="315"/>
      <c r="K4" s="315"/>
      <c r="L4" s="315"/>
      <c r="M4" s="315"/>
      <c r="N4" s="315"/>
      <c r="O4" s="315"/>
      <c r="P4" s="315"/>
      <c r="Q4" s="315"/>
      <c r="R4" s="18"/>
    </row>
    <row r="5" spans="1:53" ht="15" customHeight="1">
      <c r="B5" s="17"/>
      <c r="G5" s="142" t="s">
        <v>112</v>
      </c>
      <c r="R5" s="18"/>
    </row>
    <row r="6" spans="1:53" ht="15" customHeight="1">
      <c r="B6" s="17"/>
      <c r="F6" s="20" t="s">
        <v>0</v>
      </c>
      <c r="G6" s="327">
        <v>1</v>
      </c>
      <c r="H6" s="328"/>
      <c r="M6" s="20" t="s">
        <v>90</v>
      </c>
      <c r="O6" s="111">
        <v>1</v>
      </c>
      <c r="R6" s="18"/>
    </row>
    <row r="7" spans="1:53" ht="7.5" customHeight="1">
      <c r="B7" s="17"/>
      <c r="F7" s="20"/>
      <c r="H7" s="19"/>
      <c r="I7" s="7"/>
      <c r="J7" s="9"/>
      <c r="K7" s="9"/>
      <c r="M7" s="20"/>
      <c r="N7" s="7"/>
      <c r="R7" s="18"/>
    </row>
    <row r="8" spans="1:53" ht="15" customHeight="1">
      <c r="B8" s="17"/>
      <c r="F8" s="20" t="s">
        <v>1</v>
      </c>
      <c r="G8" s="331" t="s">
        <v>223</v>
      </c>
      <c r="H8" s="332"/>
      <c r="I8" s="332"/>
      <c r="J8" s="332"/>
      <c r="K8" s="332"/>
      <c r="L8" s="333"/>
      <c r="M8" s="20" t="s">
        <v>89</v>
      </c>
      <c r="O8" s="111" t="s">
        <v>224</v>
      </c>
      <c r="R8" s="18"/>
    </row>
    <row r="9" spans="1:53" ht="7.5" customHeight="1">
      <c r="B9" s="17"/>
      <c r="F9" s="55"/>
      <c r="G9" s="20"/>
      <c r="H9" s="20"/>
      <c r="I9" s="20"/>
      <c r="J9" s="20"/>
      <c r="K9" s="20"/>
      <c r="M9" s="20"/>
      <c r="N9" s="7"/>
      <c r="R9" s="18"/>
    </row>
    <row r="10" spans="1:53" ht="15" customHeight="1">
      <c r="B10" s="17"/>
      <c r="F10" s="55" t="s">
        <v>40</v>
      </c>
      <c r="G10" s="336"/>
      <c r="H10" s="337"/>
      <c r="I10" s="338" t="str">
        <f ca="1">IF(G10="","",IF(ROUNDUP((TODAY()-G10)/30.4,0)&gt;18,"Calificar bajo Metodología PYME",""))</f>
        <v/>
      </c>
      <c r="J10" s="339"/>
      <c r="K10" s="339"/>
      <c r="L10" s="339"/>
      <c r="M10" s="20" t="s">
        <v>88</v>
      </c>
      <c r="O10" s="112">
        <v>540000000</v>
      </c>
      <c r="R10" s="18"/>
    </row>
    <row r="11" spans="1:53" ht="7.5" customHeight="1">
      <c r="B11" s="17"/>
      <c r="F11" s="55"/>
      <c r="J11" s="20"/>
      <c r="K11" s="20"/>
      <c r="M11" s="20"/>
      <c r="N11" s="7"/>
      <c r="R11" s="18"/>
    </row>
    <row r="12" spans="1:53" ht="15" customHeight="1">
      <c r="B12" s="17"/>
      <c r="F12" s="55" t="s">
        <v>110</v>
      </c>
      <c r="G12" s="334">
        <v>719125837.27999997</v>
      </c>
      <c r="H12" s="335"/>
      <c r="J12" s="19"/>
      <c r="K12" s="20"/>
      <c r="M12" s="20" t="s">
        <v>87</v>
      </c>
      <c r="O12" s="112">
        <v>472324821</v>
      </c>
      <c r="R12" s="18"/>
    </row>
    <row r="13" spans="1:53" ht="7.5" customHeight="1">
      <c r="B13" s="17"/>
      <c r="F13" s="55"/>
      <c r="G13" s="20"/>
      <c r="H13" s="20"/>
      <c r="I13" s="20"/>
      <c r="J13" s="20"/>
      <c r="K13" s="20"/>
      <c r="L13" s="20"/>
      <c r="M13" s="143"/>
      <c r="N13" s="7"/>
      <c r="R13" s="18"/>
    </row>
    <row r="14" spans="1:53" s="10" customFormat="1" ht="15" customHeight="1">
      <c r="A14" s="7"/>
      <c r="B14" s="17"/>
      <c r="C14" s="7"/>
      <c r="D14" s="7"/>
      <c r="E14" s="7"/>
      <c r="F14" s="55" t="s">
        <v>37</v>
      </c>
      <c r="G14" s="323">
        <v>7</v>
      </c>
      <c r="H14" s="324"/>
      <c r="J14" s="20"/>
      <c r="K14" s="278"/>
      <c r="L14" s="20"/>
      <c r="M14" s="55" t="s">
        <v>139</v>
      </c>
      <c r="N14" s="20"/>
      <c r="O14" s="344" t="str">
        <f>IF(OR(G12="",G14=""),"",IF(G12/G14&lt;14000000,"Califica bajo la metodología PYME",IF(G12/G14&lt;54000000,"Pequeño Corporativo","Grande Corporativo")))</f>
        <v>Grande Corporativo</v>
      </c>
      <c r="P14" s="345"/>
      <c r="Q14" s="7"/>
      <c r="R14" s="18"/>
      <c r="T14" s="11"/>
      <c r="V14" s="11"/>
      <c r="W14" s="11"/>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row>
    <row r="15" spans="1:53" s="10" customFormat="1" ht="7.5" customHeight="1">
      <c r="A15" s="7"/>
      <c r="B15" s="17"/>
      <c r="C15" s="7"/>
      <c r="D15" s="7"/>
      <c r="E15" s="7"/>
      <c r="F15" s="8"/>
      <c r="G15" s="20"/>
      <c r="H15" s="20"/>
      <c r="I15" s="20"/>
      <c r="J15" s="20"/>
      <c r="K15" s="20"/>
      <c r="L15" s="20"/>
      <c r="M15" s="19"/>
      <c r="N15" s="7"/>
      <c r="O15" s="9"/>
      <c r="P15" s="7"/>
      <c r="Q15" s="7"/>
      <c r="R15" s="18"/>
      <c r="T15" s="11"/>
      <c r="V15" s="11"/>
      <c r="W15" s="11"/>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row>
    <row r="16" spans="1:53" s="10" customFormat="1" ht="15" customHeight="1">
      <c r="A16" s="7"/>
      <c r="B16" s="17"/>
      <c r="C16" s="7"/>
      <c r="D16" s="7"/>
      <c r="E16" s="7"/>
      <c r="F16" s="55" t="s">
        <v>114</v>
      </c>
      <c r="G16" s="352" t="s">
        <v>119</v>
      </c>
      <c r="H16" s="353"/>
      <c r="I16" s="353"/>
      <c r="J16" s="353"/>
      <c r="K16" s="354"/>
      <c r="L16" s="20"/>
      <c r="M16" s="265" t="s">
        <v>210</v>
      </c>
      <c r="N16" s="265"/>
      <c r="O16" s="7"/>
      <c r="P16" s="9"/>
      <c r="Q16" s="7"/>
      <c r="R16" s="18"/>
      <c r="T16" s="11" t="b">
        <v>0</v>
      </c>
      <c r="U16" s="11" t="s">
        <v>115</v>
      </c>
      <c r="V16" s="11"/>
      <c r="W16" s="11"/>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row>
    <row r="17" spans="1:53" s="10" customFormat="1" ht="7.5" customHeight="1">
      <c r="A17" s="7"/>
      <c r="B17" s="17"/>
      <c r="C17" s="7"/>
      <c r="D17" s="7"/>
      <c r="E17" s="7"/>
      <c r="F17" s="55"/>
      <c r="G17"/>
      <c r="H17"/>
      <c r="I17"/>
      <c r="J17"/>
      <c r="K17"/>
      <c r="L17"/>
      <c r="M17"/>
      <c r="N17" s="7"/>
      <c r="O17" s="9"/>
      <c r="P17" s="7"/>
      <c r="Q17" s="7"/>
      <c r="R17" s="18"/>
      <c r="T17" s="11"/>
      <c r="U17" s="11" t="s">
        <v>116</v>
      </c>
      <c r="V17" s="11"/>
      <c r="W17" s="11"/>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row>
    <row r="18" spans="1:53" s="10" customFormat="1" ht="15.75">
      <c r="A18" s="7"/>
      <c r="B18" s="17"/>
      <c r="C18" s="340" t="s">
        <v>2</v>
      </c>
      <c r="D18" s="340"/>
      <c r="E18" s="340"/>
      <c r="F18" s="340"/>
      <c r="G18" s="340"/>
      <c r="H18" s="340"/>
      <c r="I18" s="340"/>
      <c r="J18" s="340"/>
      <c r="K18" s="340"/>
      <c r="L18" s="340"/>
      <c r="M18" s="340"/>
      <c r="N18" s="340"/>
      <c r="O18" s="340"/>
      <c r="P18" s="340"/>
      <c r="Q18" s="340"/>
      <c r="R18" s="18"/>
      <c r="T18" s="11"/>
      <c r="U18" s="11" t="s">
        <v>117</v>
      </c>
      <c r="V18" s="11"/>
      <c r="W18" s="11"/>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row>
    <row r="19" spans="1:53" s="10" customFormat="1" ht="7.5" customHeight="1">
      <c r="A19" s="7"/>
      <c r="B19" s="17"/>
      <c r="C19" s="7"/>
      <c r="D19" s="7"/>
      <c r="E19" s="26"/>
      <c r="F19" s="26"/>
      <c r="G19" s="26"/>
      <c r="H19" s="26"/>
      <c r="I19" s="26"/>
      <c r="J19" s="26"/>
      <c r="K19" s="26"/>
      <c r="L19" s="26"/>
      <c r="M19" s="26"/>
      <c r="N19" s="27"/>
      <c r="O19" s="28"/>
      <c r="P19" s="26"/>
      <c r="Q19" s="26"/>
      <c r="R19" s="18"/>
      <c r="T19" s="11"/>
      <c r="U19" s="11" t="s">
        <v>118</v>
      </c>
      <c r="V19" s="11"/>
      <c r="W19" s="11"/>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row>
    <row r="20" spans="1:53" s="10" customFormat="1" ht="15" customHeight="1">
      <c r="A20" s="7"/>
      <c r="B20" s="17"/>
      <c r="C20" s="7"/>
      <c r="D20" s="7"/>
      <c r="E20" s="173" t="s">
        <v>8</v>
      </c>
      <c r="F20" s="346" t="s">
        <v>113</v>
      </c>
      <c r="G20" s="347"/>
      <c r="H20" s="347"/>
      <c r="I20" s="347"/>
      <c r="J20" s="347"/>
      <c r="K20" s="347"/>
      <c r="L20" s="347"/>
      <c r="M20" s="348"/>
      <c r="N20" s="116"/>
      <c r="O20" s="2" t="s">
        <v>225</v>
      </c>
      <c r="P20" s="7"/>
      <c r="Q20" s="26"/>
      <c r="R20" s="18"/>
      <c r="T20" s="11"/>
      <c r="U20" s="11" t="s">
        <v>119</v>
      </c>
      <c r="V20" s="11"/>
      <c r="W20" s="11"/>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s="10" customFormat="1" ht="7.5" customHeight="1">
      <c r="A21" s="7"/>
      <c r="B21" s="17"/>
      <c r="C21" s="7"/>
      <c r="D21" s="7"/>
      <c r="F21"/>
      <c r="G21"/>
      <c r="H21"/>
      <c r="I21"/>
      <c r="J21"/>
      <c r="K21"/>
      <c r="L21"/>
      <c r="M21"/>
      <c r="N21" s="27"/>
      <c r="O21" s="28"/>
      <c r="P21" s="26"/>
      <c r="Q21" s="26"/>
      <c r="R21" s="18"/>
      <c r="T21" s="11"/>
      <c r="U21" s="11"/>
      <c r="V21" s="11"/>
      <c r="W21" s="11"/>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s="10" customFormat="1" ht="15" customHeight="1">
      <c r="A22" s="7"/>
      <c r="B22" s="17"/>
      <c r="C22" s="7"/>
      <c r="D22" s="7"/>
      <c r="E22" s="341" t="s">
        <v>120</v>
      </c>
      <c r="F22" s="349" t="s">
        <v>213</v>
      </c>
      <c r="G22" s="350"/>
      <c r="H22" s="350"/>
      <c r="I22" s="350"/>
      <c r="J22" s="350"/>
      <c r="K22" s="350"/>
      <c r="L22" s="350"/>
      <c r="M22" s="351"/>
      <c r="N22" s="116"/>
      <c r="O22" s="2">
        <v>82</v>
      </c>
      <c r="P22" s="7"/>
      <c r="Q22" s="26"/>
      <c r="R22" s="18"/>
      <c r="T22" s="11"/>
      <c r="U22" s="11"/>
      <c r="V22" s="11"/>
      <c r="W22" s="11"/>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s="10" customFormat="1" ht="7.5" customHeight="1">
      <c r="A23" s="7"/>
      <c r="B23" s="17"/>
      <c r="C23" s="7"/>
      <c r="D23" s="7"/>
      <c r="E23" s="342"/>
      <c r="F23" s="144"/>
      <c r="G23" s="26"/>
      <c r="H23" s="26"/>
      <c r="I23" s="26"/>
      <c r="J23" s="26"/>
      <c r="K23" s="26"/>
      <c r="L23" s="26"/>
      <c r="M23" s="145"/>
      <c r="N23" s="27"/>
      <c r="O23" s="28"/>
      <c r="P23" s="26"/>
      <c r="Q23" s="26"/>
      <c r="R23" s="18"/>
      <c r="T23" s="11"/>
      <c r="U23" s="11"/>
      <c r="V23" s="11"/>
      <c r="W23" s="11"/>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s="10" customFormat="1" ht="15" customHeight="1">
      <c r="A24" s="7"/>
      <c r="B24" s="17"/>
      <c r="C24" s="7"/>
      <c r="D24" s="7"/>
      <c r="E24" s="343"/>
      <c r="F24" s="346" t="s">
        <v>121</v>
      </c>
      <c r="G24" s="347"/>
      <c r="H24" s="347"/>
      <c r="I24" s="347"/>
      <c r="J24" s="347"/>
      <c r="K24" s="347"/>
      <c r="L24" s="347"/>
      <c r="M24" s="348"/>
      <c r="N24" s="116"/>
      <c r="O24" s="146" t="str">
        <f>IF(O22="","Etapa 1",IF(O22&lt;=30,"Etapa 1",IF(O22&lt;90,"Etapa 2","Etapa 3")))</f>
        <v>Etapa 2</v>
      </c>
      <c r="P24" s="7"/>
      <c r="Q24" s="26"/>
      <c r="R24" s="18"/>
      <c r="T24" s="11"/>
      <c r="U24" s="11"/>
      <c r="V24" s="11"/>
      <c r="W24" s="11"/>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row>
    <row r="25" spans="1:53" s="10" customFormat="1" ht="7.5" customHeight="1">
      <c r="A25" s="7"/>
      <c r="B25" s="17"/>
      <c r="C25" s="7"/>
      <c r="D25" s="7"/>
      <c r="E25" s="26"/>
      <c r="F25" s="26"/>
      <c r="G25" s="26"/>
      <c r="H25" s="26"/>
      <c r="I25" s="26"/>
      <c r="J25" s="26"/>
      <c r="K25" s="26"/>
      <c r="L25" s="26"/>
      <c r="M25" s="26"/>
      <c r="N25" s="27"/>
      <c r="O25" s="28"/>
      <c r="P25" s="26"/>
      <c r="Q25" s="26"/>
      <c r="R25" s="18"/>
      <c r="T25" s="11"/>
      <c r="U25" s="11"/>
      <c r="V25" s="11"/>
      <c r="W25" s="11"/>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row>
    <row r="26" spans="1:53">
      <c r="B26" s="17"/>
      <c r="E26" s="117" t="s">
        <v>3</v>
      </c>
      <c r="F26" s="316" t="s">
        <v>4</v>
      </c>
      <c r="G26" s="317"/>
      <c r="H26" s="317"/>
      <c r="I26" s="317"/>
      <c r="J26" s="317"/>
      <c r="K26" s="317"/>
      <c r="L26" s="317"/>
      <c r="M26" s="317"/>
      <c r="N26" s="116"/>
      <c r="O26" s="117" t="s">
        <v>5</v>
      </c>
      <c r="P26" s="37" t="s">
        <v>6</v>
      </c>
      <c r="Q26" s="38"/>
      <c r="R26" s="18"/>
    </row>
    <row r="27" spans="1:53" ht="5.0999999999999996" customHeight="1">
      <c r="B27" s="17"/>
      <c r="E27" s="39"/>
      <c r="F27" s="39"/>
      <c r="G27" s="39"/>
      <c r="H27" s="39"/>
      <c r="I27" s="39"/>
      <c r="J27" s="39"/>
      <c r="K27" s="39"/>
      <c r="L27" s="39"/>
      <c r="M27" s="39"/>
      <c r="N27" s="116"/>
      <c r="O27" s="39"/>
      <c r="P27" s="28"/>
      <c r="Q27" s="28"/>
      <c r="R27" s="18"/>
    </row>
    <row r="28" spans="1:53" ht="15">
      <c r="B28" s="17"/>
      <c r="E28" s="39"/>
      <c r="F28" s="166" t="s">
        <v>39</v>
      </c>
      <c r="G28" s="39"/>
      <c r="H28" s="39"/>
      <c r="I28" s="39"/>
      <c r="J28" s="39"/>
      <c r="K28" s="39"/>
      <c r="L28" s="39"/>
      <c r="M28" s="39"/>
      <c r="N28" s="116"/>
      <c r="O28" s="39"/>
      <c r="P28" s="28"/>
      <c r="Q28" s="28"/>
      <c r="R28" s="18"/>
    </row>
    <row r="29" spans="1:53" ht="5.0999999999999996" customHeight="1">
      <c r="B29" s="17"/>
      <c r="F29" s="118"/>
      <c r="G29" s="118"/>
      <c r="H29" s="118"/>
      <c r="I29" s="118"/>
      <c r="J29" s="118"/>
      <c r="K29" s="118"/>
      <c r="L29" s="118"/>
      <c r="M29" s="116"/>
      <c r="N29" s="116"/>
      <c r="O29" s="39"/>
      <c r="P29" s="28"/>
      <c r="R29" s="18"/>
    </row>
    <row r="30" spans="1:53" ht="7.5" customHeight="1">
      <c r="B30" s="17"/>
      <c r="C30" s="355" t="s">
        <v>35</v>
      </c>
      <c r="E30" s="318" t="s">
        <v>7</v>
      </c>
      <c r="F30" s="266"/>
      <c r="G30" s="266"/>
      <c r="H30" s="266"/>
      <c r="I30" s="266"/>
      <c r="J30" s="266"/>
      <c r="K30" s="266"/>
      <c r="L30" s="266"/>
      <c r="M30" s="267"/>
      <c r="N30" s="267"/>
      <c r="O30" s="273"/>
      <c r="P30" s="274"/>
      <c r="Q30" s="270"/>
      <c r="R30" s="18"/>
    </row>
    <row r="31" spans="1:53" ht="15" customHeight="1">
      <c r="B31" s="17"/>
      <c r="C31" s="356"/>
      <c r="E31" s="319"/>
      <c r="F31" s="329" t="s">
        <v>208</v>
      </c>
      <c r="G31" s="330"/>
      <c r="H31" s="330"/>
      <c r="I31" s="330"/>
      <c r="J31" s="330"/>
      <c r="K31" s="330"/>
      <c r="L31" s="330"/>
      <c r="M31" s="330"/>
      <c r="N31" s="116"/>
      <c r="O31" s="1">
        <v>100</v>
      </c>
      <c r="P31" s="9">
        <f>IF(O31="","",IF($G$16="Agrícola",VLOOKUP(O31,'Puntaje Cuanti'!$D$3:$F$7,3),IF($G$16="Explotación, Energía y Construcción",VLOOKUP(O31,'Puntaje Cuanti'!$D$83:$F$86,3),IF($G$16="Manufactura",VLOOKUP(O31,'Puntaje Cuanti'!$D$163:$F$168,3),IF($G$16="Comercio",VLOOKUP(O31,'Puntaje Cuanti'!$D$243:$F$248,3),IF($G$16="Servicios",VLOOKUP(O31,'Puntaje Cuanti'!$D$323:$F$329,3),""))))))</f>
        <v>115</v>
      </c>
      <c r="Q31" s="271"/>
      <c r="R31" s="18"/>
    </row>
    <row r="32" spans="1:53" ht="7.5" customHeight="1">
      <c r="B32" s="17"/>
      <c r="C32" s="356"/>
      <c r="E32" s="319"/>
      <c r="F32" s="118"/>
      <c r="G32" s="118"/>
      <c r="H32" s="118"/>
      <c r="I32" s="118"/>
      <c r="J32" s="118"/>
      <c r="K32" s="118"/>
      <c r="L32" s="118"/>
      <c r="M32" s="116"/>
      <c r="N32" s="116"/>
      <c r="O32" s="39"/>
      <c r="P32" s="28"/>
      <c r="Q32" s="271"/>
      <c r="R32" s="18"/>
    </row>
    <row r="33" spans="1:53" ht="15" customHeight="1">
      <c r="B33" s="17"/>
      <c r="C33" s="356"/>
      <c r="E33" s="319"/>
      <c r="F33" s="321" t="s">
        <v>131</v>
      </c>
      <c r="G33" s="322"/>
      <c r="H33" s="322"/>
      <c r="I33" s="322"/>
      <c r="J33" s="322"/>
      <c r="K33" s="322"/>
      <c r="L33" s="322"/>
      <c r="M33" s="322"/>
      <c r="N33" s="116"/>
      <c r="O33" s="1">
        <v>100</v>
      </c>
      <c r="P33" s="9">
        <f>IF(O33="","",IF($G$16="Agrícola",VLOOKUP(O33,'Puntaje Cuanti'!$D$10:$F$13,3),IF($G$16="Explotación, Energía y Construcción",VLOOKUP(O33,'Puntaje Cuanti'!$D$90:$F$93,3),IF($G$16="Manufactura",VLOOKUP(O33,'Puntaje Cuanti'!$D$170:$F$174,3),IF($G$16="Comercio",VLOOKUP(O33,'Puntaje Cuanti'!$D$250:$F$253,3),IF($G$16="Servicios",VLOOKUP(O33,'Puntaje Cuanti'!$D$330:$F$333,3),""))))))</f>
        <v>107</v>
      </c>
      <c r="Q33" s="271"/>
      <c r="R33" s="18"/>
      <c r="U33" s="41"/>
      <c r="V33" s="41"/>
      <c r="AF33" s="7">
        <v>1</v>
      </c>
    </row>
    <row r="34" spans="1:53" ht="7.5" customHeight="1">
      <c r="B34" s="17"/>
      <c r="C34" s="356"/>
      <c r="E34" s="320"/>
      <c r="F34" s="275"/>
      <c r="G34" s="275"/>
      <c r="H34" s="275"/>
      <c r="I34" s="275"/>
      <c r="J34" s="275"/>
      <c r="K34" s="275"/>
      <c r="L34" s="275"/>
      <c r="M34" s="163"/>
      <c r="N34" s="163"/>
      <c r="O34" s="164"/>
      <c r="P34" s="165"/>
      <c r="Q34" s="272"/>
      <c r="R34" s="18"/>
    </row>
    <row r="35" spans="1:53" ht="7.5" customHeight="1">
      <c r="B35" s="17"/>
      <c r="C35" s="356"/>
      <c r="F35" s="118"/>
      <c r="G35" s="118"/>
      <c r="H35" s="118"/>
      <c r="I35" s="118"/>
      <c r="J35" s="118"/>
      <c r="K35" s="118"/>
      <c r="L35" s="118"/>
      <c r="M35" s="116"/>
      <c r="N35" s="116"/>
      <c r="R35" s="18"/>
    </row>
    <row r="36" spans="1:53" ht="7.5" customHeight="1">
      <c r="B36" s="17"/>
      <c r="C36" s="356"/>
      <c r="E36" s="325" t="s">
        <v>130</v>
      </c>
      <c r="F36" s="40"/>
      <c r="G36" s="40"/>
      <c r="H36" s="40"/>
      <c r="I36" s="40"/>
      <c r="J36" s="40"/>
      <c r="K36" s="40"/>
      <c r="L36" s="40"/>
      <c r="M36" s="29"/>
      <c r="N36" s="29"/>
      <c r="O36" s="42"/>
      <c r="P36" s="30"/>
      <c r="Q36" s="31"/>
      <c r="R36" s="18"/>
    </row>
    <row r="37" spans="1:53" ht="15" customHeight="1">
      <c r="B37" s="17"/>
      <c r="C37" s="356"/>
      <c r="E37" s="326"/>
      <c r="F37" s="362" t="s">
        <v>143</v>
      </c>
      <c r="G37" s="363"/>
      <c r="H37" s="363"/>
      <c r="I37" s="363"/>
      <c r="J37" s="363"/>
      <c r="K37" s="363"/>
      <c r="L37" s="363"/>
      <c r="M37" s="363"/>
      <c r="N37" s="116"/>
      <c r="O37" s="1"/>
      <c r="P37" s="9" t="str">
        <f>IF(O37="","",IF($G$16="Agrícola",VLOOKUP(O37,'Puntaje Cuanti'!$D$15:$F$19,3),IF($G$16="Explotación, Energía y Construcción",VLOOKUP(O37,'Puntaje Cuanti'!$D$95:$F$99,3),IF($G$16="Manufactura",VLOOKUP(O37,'Puntaje Cuanti'!$D$175:$F$179,3),IF($G$16="Comercio",VLOOKUP(O37,'Puntaje Cuanti'!$D$255:$F$259,3),IF($G$16="Servicios",VLOOKUP(O37,'Puntaje Cuanti'!$D$335:$F$339,3),""))))))</f>
        <v/>
      </c>
      <c r="Q37" s="32"/>
      <c r="R37" s="18"/>
      <c r="U37" s="41"/>
    </row>
    <row r="38" spans="1:53" ht="7.5" customHeight="1">
      <c r="B38" s="17"/>
      <c r="C38" s="356"/>
      <c r="E38" s="326"/>
      <c r="F38" s="118"/>
      <c r="G38" s="118"/>
      <c r="H38" s="118"/>
      <c r="I38" s="118"/>
      <c r="J38" s="118"/>
      <c r="K38" s="118"/>
      <c r="L38" s="118"/>
      <c r="M38" s="116"/>
      <c r="N38" s="116"/>
      <c r="Q38" s="32"/>
      <c r="R38" s="18"/>
    </row>
    <row r="39" spans="1:53" ht="15" customHeight="1">
      <c r="B39" s="17"/>
      <c r="C39" s="356"/>
      <c r="E39" s="326"/>
      <c r="F39" s="362" t="s">
        <v>144</v>
      </c>
      <c r="G39" s="363"/>
      <c r="H39" s="363"/>
      <c r="I39" s="363"/>
      <c r="J39" s="363"/>
      <c r="K39" s="363"/>
      <c r="L39" s="363"/>
      <c r="M39" s="363"/>
      <c r="N39" s="116"/>
      <c r="O39" s="114"/>
      <c r="P39" s="9" t="str">
        <f>IF(O39="","",IF($G$16="Agrícola",VLOOKUP(O39,'Puntaje Cuanti'!$D$20:$F$24,3),IF($G$16="Explotación, Energía y Construcción",VLOOKUP(O39,'Puntaje Cuanti'!$D$100:$F$105,3),IF($G$16="Manufactura",VLOOKUP(O39,'Puntaje Cuanti'!$D$180:$F$184,3),IF($G$16="Comercio",VLOOKUP(O39,'Puntaje Cuanti'!$D$260:$F$264,3),IF($G$16="Servicios",VLOOKUP(O39,'Puntaje Cuanti'!$D$340:$F$344,3),""))))))</f>
        <v/>
      </c>
      <c r="Q39" s="32"/>
      <c r="R39" s="18"/>
      <c r="U39" s="41"/>
      <c r="V39" s="41"/>
    </row>
    <row r="40" spans="1:53" s="10" customFormat="1" ht="7.5" customHeight="1">
      <c r="A40" s="7"/>
      <c r="B40" s="17"/>
      <c r="C40" s="356"/>
      <c r="D40" s="7"/>
      <c r="E40" s="115"/>
      <c r="F40" s="43"/>
      <c r="G40" s="43"/>
      <c r="H40" s="43"/>
      <c r="I40" s="43"/>
      <c r="J40" s="43"/>
      <c r="K40" s="43"/>
      <c r="L40" s="43"/>
      <c r="M40" s="33"/>
      <c r="N40" s="33"/>
      <c r="O40" s="34"/>
      <c r="P40" s="35"/>
      <c r="Q40" s="36"/>
      <c r="R40" s="18"/>
      <c r="T40" s="11"/>
      <c r="U40" s="11"/>
      <c r="V40" s="11"/>
      <c r="W40" s="11"/>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s="10" customFormat="1" ht="7.5" customHeight="1">
      <c r="A41" s="7"/>
      <c r="B41" s="17"/>
      <c r="C41" s="356"/>
      <c r="D41" s="7"/>
      <c r="E41" s="7"/>
      <c r="F41" s="118"/>
      <c r="G41" s="118"/>
      <c r="H41" s="118"/>
      <c r="I41" s="118"/>
      <c r="J41" s="118"/>
      <c r="K41" s="118"/>
      <c r="L41" s="118"/>
      <c r="M41" s="116"/>
      <c r="N41" s="116"/>
      <c r="O41" s="9"/>
      <c r="P41" s="7"/>
      <c r="Q41" s="7"/>
      <c r="R41" s="18"/>
      <c r="T41" s="11"/>
      <c r="U41" s="11"/>
      <c r="V41" s="11"/>
      <c r="W41" s="11"/>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ht="7.5" customHeight="1">
      <c r="B42" s="17"/>
      <c r="C42" s="356"/>
      <c r="E42" s="341" t="s">
        <v>202</v>
      </c>
      <c r="F42" s="266"/>
      <c r="G42" s="266"/>
      <c r="H42" s="266"/>
      <c r="I42" s="266"/>
      <c r="J42" s="266"/>
      <c r="K42" s="266"/>
      <c r="L42" s="266"/>
      <c r="M42" s="267"/>
      <c r="N42" s="267"/>
      <c r="O42" s="268"/>
      <c r="P42" s="269"/>
      <c r="Q42" s="270"/>
      <c r="R42" s="18"/>
    </row>
    <row r="43" spans="1:53" ht="15" customHeight="1">
      <c r="B43" s="17"/>
      <c r="C43" s="356"/>
      <c r="E43" s="342"/>
      <c r="F43" s="364" t="s">
        <v>209</v>
      </c>
      <c r="G43" s="364"/>
      <c r="H43" s="364"/>
      <c r="I43" s="364"/>
      <c r="J43" s="364"/>
      <c r="K43" s="364"/>
      <c r="L43" s="364"/>
      <c r="M43" s="364"/>
      <c r="N43" s="116"/>
      <c r="O43" s="1"/>
      <c r="P43" s="9" t="str">
        <f>IF(O43="","",IF($G$16="Agrícola",VLOOKUP(O43,'Puntaje Cuanti'!$D$26:$F$31,3),""))</f>
        <v/>
      </c>
      <c r="Q43" s="271"/>
      <c r="R43" s="18"/>
      <c r="U43" s="41"/>
    </row>
    <row r="44" spans="1:53" ht="7.5" customHeight="1">
      <c r="B44" s="17"/>
      <c r="C44" s="356"/>
      <c r="E44" s="342"/>
      <c r="F44" s="118"/>
      <c r="G44" s="118"/>
      <c r="H44" s="118"/>
      <c r="I44" s="118"/>
      <c r="J44" s="118"/>
      <c r="K44" s="118"/>
      <c r="L44" s="118"/>
      <c r="M44" s="116"/>
      <c r="N44" s="116"/>
      <c r="Q44" s="271"/>
      <c r="R44" s="18"/>
    </row>
    <row r="45" spans="1:53" ht="15" customHeight="1">
      <c r="B45" s="17"/>
      <c r="C45" s="356"/>
      <c r="E45" s="342"/>
      <c r="F45" s="364" t="s">
        <v>150</v>
      </c>
      <c r="G45" s="364"/>
      <c r="H45" s="364"/>
      <c r="I45" s="364"/>
      <c r="J45" s="364"/>
      <c r="K45" s="364"/>
      <c r="L45" s="364"/>
      <c r="M45" s="364"/>
      <c r="N45" s="116"/>
      <c r="O45" s="1"/>
      <c r="P45" s="9" t="str">
        <f>IF(O45="","",IF($G$16="Agrícola",VLOOKUP(O45,'Puntaje Cuanti'!$D$32:$F$35,3),IF($G$16="Manufactura",VLOOKUP(O45,'Puntaje Cuanti'!$D$192:$F$195,3),"")))</f>
        <v/>
      </c>
      <c r="Q45" s="271"/>
      <c r="R45" s="18"/>
      <c r="U45" s="41"/>
    </row>
    <row r="46" spans="1:53" ht="7.5" customHeight="1">
      <c r="B46" s="17"/>
      <c r="C46" s="356"/>
      <c r="E46" s="342"/>
      <c r="F46" s="118"/>
      <c r="G46" s="118"/>
      <c r="H46" s="118"/>
      <c r="I46" s="118"/>
      <c r="J46" s="118"/>
      <c r="K46" s="118"/>
      <c r="L46" s="118"/>
      <c r="M46" s="116"/>
      <c r="N46" s="116"/>
      <c r="Q46" s="271"/>
      <c r="R46" s="18"/>
    </row>
    <row r="47" spans="1:53" ht="15" customHeight="1">
      <c r="B47" s="17"/>
      <c r="C47" s="356"/>
      <c r="E47" s="342"/>
      <c r="F47" s="364" t="s">
        <v>152</v>
      </c>
      <c r="G47" s="364"/>
      <c r="H47" s="364"/>
      <c r="I47" s="364"/>
      <c r="J47" s="364"/>
      <c r="K47" s="364"/>
      <c r="L47" s="364"/>
      <c r="M47" s="364"/>
      <c r="N47" s="116"/>
      <c r="O47" s="1">
        <v>10</v>
      </c>
      <c r="P47" s="9" t="str">
        <f>IF(O47="","",IF($G$16="Agrícola",VLOOKUP(O47,'Puntaje Cuanti'!$D$36:$F$39,3),IF($G$16="Manufactura",VLOOKUP(O47,'Puntaje Cuanti'!$D$196:$F$199,3),IF($G$16="Comercio",VLOOKUP(O47,'Puntaje Cuanti'!$D$276:$F$279,3),""))))</f>
        <v/>
      </c>
      <c r="Q47" s="271"/>
      <c r="R47" s="18"/>
      <c r="U47" s="41"/>
    </row>
    <row r="48" spans="1:53" ht="7.5" customHeight="1">
      <c r="B48" s="17"/>
      <c r="C48" s="356"/>
      <c r="E48" s="342"/>
      <c r="F48" s="118"/>
      <c r="G48" s="118"/>
      <c r="H48" s="118"/>
      <c r="I48" s="118"/>
      <c r="J48" s="118"/>
      <c r="K48" s="118"/>
      <c r="L48" s="118"/>
      <c r="M48" s="116"/>
      <c r="N48" s="116"/>
      <c r="Q48" s="271"/>
      <c r="R48" s="18"/>
    </row>
    <row r="49" spans="2:21" ht="15" customHeight="1">
      <c r="B49" s="17"/>
      <c r="C49" s="356"/>
      <c r="E49" s="342"/>
      <c r="F49" s="364" t="s">
        <v>154</v>
      </c>
      <c r="G49" s="364"/>
      <c r="H49" s="364"/>
      <c r="I49" s="364"/>
      <c r="J49" s="364"/>
      <c r="K49" s="364"/>
      <c r="L49" s="364"/>
      <c r="M49" s="364"/>
      <c r="N49" s="116"/>
      <c r="O49" s="1"/>
      <c r="P49" s="9" t="str">
        <f>IF(O49="","",IF($G$16="Agrícola",VLOOKUP(O49,'Puntaje Cuanti'!$D$40:$F$44,3),IF($G$16="Explotación, Energía y Construcción",VLOOKUP(O49,'Puntaje Cuanti'!$D$120:$F$124,3),"")))</f>
        <v/>
      </c>
      <c r="Q49" s="271"/>
      <c r="R49" s="18"/>
      <c r="U49" s="41"/>
    </row>
    <row r="50" spans="2:21" ht="7.5" customHeight="1">
      <c r="B50" s="17"/>
      <c r="C50" s="356"/>
      <c r="E50" s="342"/>
      <c r="F50" s="118"/>
      <c r="G50" s="118"/>
      <c r="H50" s="118"/>
      <c r="I50" s="118"/>
      <c r="J50" s="118"/>
      <c r="K50" s="118"/>
      <c r="L50" s="118"/>
      <c r="M50" s="116"/>
      <c r="N50" s="116"/>
      <c r="Q50" s="271"/>
      <c r="R50" s="18"/>
    </row>
    <row r="51" spans="2:21" ht="15" customHeight="1">
      <c r="B51" s="17"/>
      <c r="C51" s="356"/>
      <c r="E51" s="342"/>
      <c r="F51" s="364" t="s">
        <v>156</v>
      </c>
      <c r="G51" s="364"/>
      <c r="H51" s="364"/>
      <c r="I51" s="364"/>
      <c r="J51" s="364"/>
      <c r="K51" s="364"/>
      <c r="L51" s="364"/>
      <c r="M51" s="364"/>
      <c r="N51" s="116"/>
      <c r="O51" s="1"/>
      <c r="P51" s="9" t="str">
        <f>IF(O51="","",IF($G$16="Explotación, Energía y Construcción",VLOOKUP(O51,'Puntaje Cuanti'!$D$125:$F$128,3),IF($G$16="Servicios",VLOOKUP(O51,'Puntaje Cuanti'!$D$365:$F$369,3),"")))</f>
        <v/>
      </c>
      <c r="Q51" s="271"/>
      <c r="R51" s="18"/>
      <c r="U51" s="41"/>
    </row>
    <row r="52" spans="2:21" ht="7.5" customHeight="1">
      <c r="B52" s="17"/>
      <c r="C52" s="356"/>
      <c r="E52" s="342"/>
      <c r="F52" s="118"/>
      <c r="G52" s="118"/>
      <c r="H52" s="118"/>
      <c r="I52" s="118"/>
      <c r="J52" s="118"/>
      <c r="K52" s="118"/>
      <c r="L52" s="118"/>
      <c r="M52" s="116"/>
      <c r="N52" s="116"/>
      <c r="Q52" s="271"/>
      <c r="R52" s="18"/>
    </row>
    <row r="53" spans="2:21" ht="15" customHeight="1">
      <c r="B53" s="17"/>
      <c r="C53" s="356"/>
      <c r="E53" s="342"/>
      <c r="F53" s="364" t="s">
        <v>158</v>
      </c>
      <c r="G53" s="364"/>
      <c r="H53" s="364"/>
      <c r="I53" s="364"/>
      <c r="J53" s="364"/>
      <c r="K53" s="364"/>
      <c r="L53" s="364"/>
      <c r="M53" s="364"/>
      <c r="N53" s="116"/>
      <c r="O53" s="1"/>
      <c r="P53" s="9" t="str">
        <f>IF(O53="","",IF($G$16="Explotación, Energía y Construcción",VLOOKUP(O53,'Puntaje Cuanti'!$D$130:$F$133,3),""))</f>
        <v/>
      </c>
      <c r="Q53" s="271"/>
      <c r="R53" s="18"/>
      <c r="U53" s="41"/>
    </row>
    <row r="54" spans="2:21" ht="7.5" customHeight="1">
      <c r="B54" s="17"/>
      <c r="C54" s="356"/>
      <c r="E54" s="342"/>
      <c r="F54" s="118"/>
      <c r="G54" s="118"/>
      <c r="H54" s="118"/>
      <c r="I54" s="118"/>
      <c r="J54" s="118"/>
      <c r="K54" s="118"/>
      <c r="L54" s="118"/>
      <c r="M54" s="116"/>
      <c r="N54" s="116"/>
      <c r="Q54" s="271"/>
      <c r="R54" s="18"/>
    </row>
    <row r="55" spans="2:21" ht="15" customHeight="1">
      <c r="B55" s="17"/>
      <c r="C55" s="356"/>
      <c r="E55" s="342"/>
      <c r="F55" s="364" t="s">
        <v>161</v>
      </c>
      <c r="G55" s="364"/>
      <c r="H55" s="364"/>
      <c r="I55" s="364"/>
      <c r="J55" s="364"/>
      <c r="K55" s="364"/>
      <c r="L55" s="364"/>
      <c r="M55" s="364"/>
      <c r="N55" s="116"/>
      <c r="O55" s="1"/>
      <c r="P55" s="9" t="str">
        <f>IF(O55="","",IF($G$16="Manufactura",VLOOKUP(O55,'Puntaje Cuanti'!$D$214:$F$218,3),""))</f>
        <v/>
      </c>
      <c r="Q55" s="271"/>
      <c r="R55" s="18"/>
      <c r="U55" s="41"/>
    </row>
    <row r="56" spans="2:21" ht="7.5" customHeight="1">
      <c r="B56" s="17"/>
      <c r="C56" s="356"/>
      <c r="E56" s="342"/>
      <c r="F56" s="118"/>
      <c r="G56" s="118"/>
      <c r="H56" s="118"/>
      <c r="I56" s="118"/>
      <c r="J56" s="118"/>
      <c r="K56" s="118"/>
      <c r="L56" s="118"/>
      <c r="M56" s="116"/>
      <c r="N56" s="116"/>
      <c r="Q56" s="271"/>
      <c r="R56" s="18"/>
    </row>
    <row r="57" spans="2:21" ht="15" customHeight="1">
      <c r="B57" s="17"/>
      <c r="C57" s="356"/>
      <c r="E57" s="342"/>
      <c r="F57" s="364" t="s">
        <v>163</v>
      </c>
      <c r="G57" s="364"/>
      <c r="H57" s="364"/>
      <c r="I57" s="364"/>
      <c r="J57" s="364"/>
      <c r="K57" s="364"/>
      <c r="L57" s="364"/>
      <c r="M57" s="364"/>
      <c r="N57" s="116"/>
      <c r="O57" s="1">
        <v>1</v>
      </c>
      <c r="P57" s="9" t="str">
        <f>IF(O57="","",IF($G$16="Manufactura",VLOOKUP(O57,'Puntaje Cuanti'!$D$219:$F$223,3),IF($G$16="Comercio",VLOOKUP(O57,'Puntaje Cuanti'!$D$299:$F$302,3),"")))</f>
        <v/>
      </c>
      <c r="Q57" s="271"/>
      <c r="R57" s="18"/>
      <c r="U57" s="41"/>
    </row>
    <row r="58" spans="2:21" ht="7.5" customHeight="1">
      <c r="B58" s="17"/>
      <c r="C58" s="356"/>
      <c r="E58" s="342"/>
      <c r="F58" s="118"/>
      <c r="G58" s="118"/>
      <c r="H58" s="118"/>
      <c r="I58" s="118"/>
      <c r="J58" s="118"/>
      <c r="K58" s="118"/>
      <c r="L58" s="118"/>
      <c r="M58" s="116"/>
      <c r="N58" s="116"/>
      <c r="Q58" s="271"/>
      <c r="R58" s="18"/>
    </row>
    <row r="59" spans="2:21" ht="15" customHeight="1">
      <c r="B59" s="17"/>
      <c r="C59" s="356"/>
      <c r="E59" s="342"/>
      <c r="F59" s="364" t="s">
        <v>167</v>
      </c>
      <c r="G59" s="364"/>
      <c r="H59" s="364"/>
      <c r="I59" s="364"/>
      <c r="J59" s="364"/>
      <c r="K59" s="364"/>
      <c r="L59" s="364"/>
      <c r="M59" s="364"/>
      <c r="N59" s="116"/>
      <c r="O59" s="1">
        <v>2</v>
      </c>
      <c r="P59" s="9" t="str">
        <f>IF(O59="","",IF($G$16="Comercio",VLOOKUP(O59,'Puntaje Cuanti'!$D$304:$F$308,3),""))</f>
        <v/>
      </c>
      <c r="Q59" s="271"/>
      <c r="R59" s="18"/>
      <c r="U59" s="41"/>
    </row>
    <row r="60" spans="2:21" ht="7.5" customHeight="1">
      <c r="B60" s="17"/>
      <c r="C60" s="356"/>
      <c r="E60" s="342"/>
      <c r="F60" s="118"/>
      <c r="G60" s="118"/>
      <c r="H60" s="118"/>
      <c r="I60" s="118"/>
      <c r="J60" s="118"/>
      <c r="K60" s="118"/>
      <c r="L60" s="118"/>
      <c r="M60" s="116"/>
      <c r="N60" s="116"/>
      <c r="Q60" s="271"/>
      <c r="R60" s="18"/>
    </row>
    <row r="61" spans="2:21" ht="15" customHeight="1">
      <c r="B61" s="17"/>
      <c r="C61" s="356"/>
      <c r="E61" s="342"/>
      <c r="F61" s="364" t="s">
        <v>203</v>
      </c>
      <c r="G61" s="364"/>
      <c r="H61" s="364"/>
      <c r="I61" s="364"/>
      <c r="J61" s="364"/>
      <c r="K61" s="364"/>
      <c r="L61" s="364"/>
      <c r="M61" s="364"/>
      <c r="N61" s="116"/>
      <c r="O61" s="1">
        <v>60</v>
      </c>
      <c r="P61" s="9" t="str">
        <f>IF(O61="","",IF($G$16="Comercio",VLOOKUP(O61,'Puntaje Cuanti'!$D$309:$F$313,3),""))</f>
        <v/>
      </c>
      <c r="Q61" s="271"/>
      <c r="R61" s="18"/>
      <c r="U61" s="41"/>
    </row>
    <row r="62" spans="2:21" ht="7.5" customHeight="1">
      <c r="B62" s="17"/>
      <c r="C62" s="356"/>
      <c r="E62" s="342"/>
      <c r="F62" s="118"/>
      <c r="G62" s="118"/>
      <c r="H62" s="118"/>
      <c r="I62" s="118"/>
      <c r="J62" s="118"/>
      <c r="K62" s="118"/>
      <c r="L62" s="118"/>
      <c r="M62" s="116"/>
      <c r="N62" s="116"/>
      <c r="Q62" s="271"/>
      <c r="R62" s="18"/>
    </row>
    <row r="63" spans="2:21" ht="15" customHeight="1">
      <c r="B63" s="17"/>
      <c r="C63" s="356"/>
      <c r="E63" s="342"/>
      <c r="F63" s="364" t="s">
        <v>172</v>
      </c>
      <c r="G63" s="364"/>
      <c r="H63" s="364"/>
      <c r="I63" s="364"/>
      <c r="J63" s="364"/>
      <c r="K63" s="364"/>
      <c r="L63" s="364"/>
      <c r="M63" s="364"/>
      <c r="N63" s="116"/>
      <c r="O63" s="1"/>
      <c r="P63" s="9" t="str">
        <f>IF(O63="","",IF($G$16="Servicios",VLOOKUP(O63,'Puntaje Cuanti'!$D$394:$F$398,3)))</f>
        <v/>
      </c>
      <c r="Q63" s="271"/>
      <c r="R63" s="18"/>
      <c r="U63" s="41"/>
    </row>
    <row r="64" spans="2:21" ht="7.5" customHeight="1">
      <c r="B64" s="17"/>
      <c r="C64" s="356"/>
      <c r="E64" s="342"/>
      <c r="F64" s="118"/>
      <c r="G64" s="118"/>
      <c r="H64" s="118"/>
      <c r="I64" s="118"/>
      <c r="J64" s="118"/>
      <c r="K64" s="118"/>
      <c r="L64" s="118"/>
      <c r="M64" s="116"/>
      <c r="N64" s="116"/>
      <c r="Q64" s="271"/>
      <c r="R64" s="18"/>
    </row>
    <row r="65" spans="1:53" ht="15" customHeight="1">
      <c r="B65" s="17"/>
      <c r="C65" s="356"/>
      <c r="E65" s="342"/>
      <c r="F65" s="364" t="s">
        <v>174</v>
      </c>
      <c r="G65" s="364"/>
      <c r="H65" s="364"/>
      <c r="I65" s="364"/>
      <c r="J65" s="364"/>
      <c r="K65" s="364"/>
      <c r="L65" s="364"/>
      <c r="M65" s="364"/>
      <c r="N65" s="116"/>
      <c r="O65" s="1"/>
      <c r="P65" s="9" t="str">
        <f>IF(O65="","",IF($G$16="Servicios",VLOOKUP(O65,'Puntaje Cuanti'!$D$399:$F$402,3)))</f>
        <v/>
      </c>
      <c r="Q65" s="271"/>
      <c r="R65" s="18"/>
      <c r="U65" s="41"/>
      <c r="V65" s="41"/>
    </row>
    <row r="66" spans="1:53" s="10" customFormat="1" ht="7.5" customHeight="1">
      <c r="A66" s="7"/>
      <c r="B66" s="17"/>
      <c r="C66" s="357"/>
      <c r="D66" s="7"/>
      <c r="E66" s="208"/>
      <c r="F66" s="275"/>
      <c r="G66" s="275"/>
      <c r="H66" s="275"/>
      <c r="I66" s="275"/>
      <c r="J66" s="275"/>
      <c r="K66" s="275"/>
      <c r="L66" s="275"/>
      <c r="M66" s="163"/>
      <c r="N66" s="163"/>
      <c r="O66" s="276"/>
      <c r="P66" s="165"/>
      <c r="Q66" s="272"/>
      <c r="R66" s="18"/>
      <c r="T66" s="11"/>
      <c r="U66" s="11"/>
      <c r="V66" s="11"/>
      <c r="W66" s="11"/>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row>
    <row r="67" spans="1:53" s="10" customFormat="1" ht="15" customHeight="1">
      <c r="A67" s="7"/>
      <c r="B67" s="17"/>
      <c r="C67" s="7"/>
      <c r="D67" s="7"/>
      <c r="E67" s="7"/>
      <c r="F67" s="118"/>
      <c r="G67" s="116"/>
      <c r="H67" s="116"/>
      <c r="I67" s="19"/>
      <c r="J67" s="7"/>
      <c r="K67" s="7"/>
      <c r="L67" s="118"/>
      <c r="M67" s="116"/>
      <c r="N67" s="116"/>
      <c r="O67" s="19"/>
      <c r="P67" s="7"/>
      <c r="Q67" s="7"/>
      <c r="R67" s="18"/>
      <c r="S67" s="44"/>
      <c r="T67" s="41"/>
      <c r="U67" s="41"/>
      <c r="V67" s="41"/>
      <c r="W67" s="41"/>
      <c r="X67" s="41"/>
      <c r="Y67" s="41"/>
      <c r="Z67" s="41"/>
      <c r="AA67" s="41"/>
      <c r="AF67" s="7"/>
      <c r="AG67" s="7"/>
      <c r="AH67" s="7"/>
      <c r="AI67" s="7"/>
      <c r="AJ67" s="7"/>
      <c r="AK67" s="7"/>
      <c r="AL67" s="7"/>
      <c r="AM67" s="7"/>
      <c r="AN67" s="7"/>
      <c r="AO67" s="7"/>
      <c r="AP67" s="7"/>
      <c r="AQ67" s="7"/>
      <c r="AR67" s="7"/>
      <c r="AS67" s="7"/>
      <c r="AT67" s="7"/>
      <c r="AU67" s="7"/>
      <c r="AV67" s="7"/>
      <c r="AW67" s="7"/>
      <c r="AX67" s="7"/>
      <c r="AY67" s="7"/>
      <c r="AZ67" s="7"/>
      <c r="BA67" s="7"/>
    </row>
    <row r="68" spans="1:53" s="10" customFormat="1" ht="7.5" customHeight="1">
      <c r="A68" s="7"/>
      <c r="B68" s="17"/>
      <c r="C68" s="355" t="s">
        <v>204</v>
      </c>
      <c r="D68" s="7"/>
      <c r="E68" s="341" t="s">
        <v>205</v>
      </c>
      <c r="F68" s="266"/>
      <c r="G68" s="266"/>
      <c r="H68" s="266"/>
      <c r="I68" s="266"/>
      <c r="J68" s="266"/>
      <c r="K68" s="266"/>
      <c r="L68" s="266"/>
      <c r="M68" s="267"/>
      <c r="N68" s="267"/>
      <c r="O68" s="268"/>
      <c r="P68" s="269"/>
      <c r="Q68" s="270"/>
      <c r="R68" s="18"/>
      <c r="S68" s="44"/>
      <c r="T68" s="41"/>
      <c r="U68" s="41"/>
      <c r="V68" s="41"/>
      <c r="W68" s="41"/>
      <c r="X68" s="41"/>
      <c r="Y68" s="41"/>
      <c r="Z68" s="41"/>
      <c r="AA68" s="41"/>
      <c r="AF68" s="7"/>
      <c r="AG68" s="7"/>
      <c r="AH68" s="7"/>
      <c r="AI68" s="7"/>
      <c r="AJ68" s="7"/>
      <c r="AK68" s="7"/>
      <c r="AL68" s="7"/>
      <c r="AM68" s="7"/>
      <c r="AN68" s="7"/>
      <c r="AO68" s="7"/>
      <c r="AP68" s="7"/>
      <c r="AQ68" s="7"/>
      <c r="AR68" s="7"/>
      <c r="AS68" s="7"/>
      <c r="AT68" s="7"/>
      <c r="AU68" s="7"/>
      <c r="AV68" s="7"/>
      <c r="AW68" s="7"/>
      <c r="AX68" s="7"/>
      <c r="AY68" s="7"/>
      <c r="AZ68" s="7"/>
      <c r="BA68" s="7"/>
    </row>
    <row r="69" spans="1:53" ht="15" customHeight="1">
      <c r="B69" s="17"/>
      <c r="C69" s="356"/>
      <c r="E69" s="342"/>
      <c r="F69" s="365" t="s">
        <v>179</v>
      </c>
      <c r="G69" s="364"/>
      <c r="H69" s="364"/>
      <c r="I69" s="364"/>
      <c r="J69" s="364"/>
      <c r="K69" s="364"/>
      <c r="L69" s="364"/>
      <c r="M69" s="364"/>
      <c r="N69" s="116"/>
      <c r="O69" s="1" t="s">
        <v>211</v>
      </c>
      <c r="P69" s="9">
        <f>IF(O69='Puntaje Cuali'!$C$3,'Puntaje Cuali'!$E$3,IF(O69='Puntaje Cuali'!$C$4,'Puntaje Cuali'!$E$4,IF(O69='Puntaje Cuali'!$C$5,'Puntaje Cuali'!$E$5,"")))</f>
        <v>120</v>
      </c>
      <c r="Q69" s="271"/>
      <c r="R69" s="18"/>
      <c r="U69" s="41"/>
      <c r="V69" s="41"/>
    </row>
    <row r="70" spans="1:53" s="10" customFormat="1" ht="7.5" customHeight="1">
      <c r="A70" s="7"/>
      <c r="B70" s="17"/>
      <c r="C70" s="356"/>
      <c r="D70" s="7"/>
      <c r="E70" s="342"/>
      <c r="F70" s="118"/>
      <c r="G70" s="118"/>
      <c r="H70" s="118"/>
      <c r="I70" s="118"/>
      <c r="J70" s="118"/>
      <c r="K70" s="118"/>
      <c r="L70" s="118"/>
      <c r="M70" s="116"/>
      <c r="N70" s="116"/>
      <c r="O70" s="9"/>
      <c r="P70" s="7"/>
      <c r="Q70" s="271"/>
      <c r="R70" s="18"/>
      <c r="T70" s="11"/>
      <c r="U70" s="11"/>
      <c r="V70" s="11"/>
      <c r="W70" s="11"/>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row>
    <row r="71" spans="1:53" ht="51">
      <c r="B71" s="17"/>
      <c r="C71" s="356"/>
      <c r="E71" s="342"/>
      <c r="F71" s="322" t="s">
        <v>206</v>
      </c>
      <c r="G71" s="322"/>
      <c r="H71" s="322"/>
      <c r="I71" s="322"/>
      <c r="J71" s="322"/>
      <c r="K71" s="322"/>
      <c r="L71" s="322"/>
      <c r="M71" s="322"/>
      <c r="N71" s="116"/>
      <c r="O71" s="279" t="s">
        <v>183</v>
      </c>
      <c r="P71" s="9">
        <f>IF(O71='Puntaje Cuali'!$C$6,'Puntaje Cuali'!$E$6,IF(O71='Puntaje Cuali'!$C$7,'Puntaje Cuali'!$E$7,IF(O71='Puntaje Cuali'!$C$8,'Puntaje Cuali'!$E$8,IF(O71='Puntaje Cuali'!$C$9,'Puntaje Cuali'!$E$9,""))))</f>
        <v>131</v>
      </c>
      <c r="Q71" s="271"/>
      <c r="R71" s="18"/>
      <c r="U71" s="41"/>
      <c r="V71" s="41"/>
    </row>
    <row r="72" spans="1:53" s="10" customFormat="1" ht="7.5" customHeight="1">
      <c r="A72" s="7"/>
      <c r="B72" s="17"/>
      <c r="C72" s="356"/>
      <c r="D72" s="7"/>
      <c r="E72" s="342"/>
      <c r="F72" s="118"/>
      <c r="G72" s="118"/>
      <c r="H72" s="118"/>
      <c r="I72" s="118"/>
      <c r="J72" s="118"/>
      <c r="K72" s="118"/>
      <c r="L72" s="118"/>
      <c r="M72" s="116"/>
      <c r="N72" s="116"/>
      <c r="O72" s="9"/>
      <c r="P72" s="7"/>
      <c r="Q72" s="271"/>
      <c r="R72" s="18"/>
      <c r="T72" s="11"/>
      <c r="U72" s="11"/>
      <c r="V72" s="11"/>
      <c r="W72" s="11"/>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row>
    <row r="73" spans="1:53" ht="51">
      <c r="B73" s="17"/>
      <c r="C73" s="356"/>
      <c r="E73" s="342"/>
      <c r="F73" s="365" t="s">
        <v>188</v>
      </c>
      <c r="G73" s="364"/>
      <c r="H73" s="364"/>
      <c r="I73" s="364"/>
      <c r="J73" s="364"/>
      <c r="K73" s="364"/>
      <c r="L73" s="364"/>
      <c r="M73" s="364"/>
      <c r="N73" s="116"/>
      <c r="O73" s="279" t="s">
        <v>187</v>
      </c>
      <c r="P73" s="9">
        <f>IF(O73='Puntaje Cuali'!$C$10,'Puntaje Cuali'!$E$10,IF(O73='Puntaje Cuali'!$C$11,'Puntaje Cuali'!$E$11,IF(O73='Puntaje Cuali'!$C$12,'Puntaje Cuali'!$E$12,IF(O73='Puntaje Cuali'!$C$13,'Puntaje Cuali'!$E$13,""))))</f>
        <v>97</v>
      </c>
      <c r="Q73" s="271"/>
      <c r="R73" s="18"/>
      <c r="U73" s="41"/>
      <c r="V73" s="41"/>
    </row>
    <row r="74" spans="1:53" s="10" customFormat="1" ht="7.5" customHeight="1">
      <c r="A74" s="7"/>
      <c r="B74" s="17"/>
      <c r="C74" s="356"/>
      <c r="D74" s="7"/>
      <c r="E74" s="342"/>
      <c r="F74" s="118"/>
      <c r="G74" s="118"/>
      <c r="H74" s="118"/>
      <c r="I74" s="118"/>
      <c r="J74" s="118"/>
      <c r="K74" s="118"/>
      <c r="L74" s="118"/>
      <c r="M74" s="116"/>
      <c r="N74" s="116"/>
      <c r="O74" s="9"/>
      <c r="P74" s="7"/>
      <c r="Q74" s="271"/>
      <c r="R74" s="18"/>
      <c r="T74" s="11"/>
      <c r="U74" s="11"/>
      <c r="V74" s="11"/>
      <c r="W74" s="11"/>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row>
    <row r="75" spans="1:53" ht="25.5">
      <c r="B75" s="17"/>
      <c r="C75" s="356"/>
      <c r="E75" s="342"/>
      <c r="F75" s="365" t="s">
        <v>189</v>
      </c>
      <c r="G75" s="364"/>
      <c r="H75" s="364"/>
      <c r="I75" s="364"/>
      <c r="J75" s="364"/>
      <c r="K75" s="364"/>
      <c r="L75" s="364"/>
      <c r="M75" s="364"/>
      <c r="N75" s="116"/>
      <c r="O75" s="279" t="s">
        <v>191</v>
      </c>
      <c r="P75" s="9">
        <f>IF(O75='Puntaje Cuali'!$C$14,'Puntaje Cuali'!$E$14,IF(O75='Puntaje Cuali'!$C$15,'Puntaje Cuali'!$E$15,IF(O75='Puntaje Cuali'!$C$16,'Puntaje Cuali'!$E$16,"")))</f>
        <v>130</v>
      </c>
      <c r="Q75" s="271"/>
      <c r="R75" s="18"/>
      <c r="U75" s="41"/>
      <c r="V75" s="41"/>
    </row>
    <row r="76" spans="1:53" s="10" customFormat="1" ht="7.5" customHeight="1">
      <c r="A76" s="7"/>
      <c r="B76" s="17"/>
      <c r="C76" s="356"/>
      <c r="D76" s="7"/>
      <c r="E76" s="342"/>
      <c r="F76" s="118"/>
      <c r="G76" s="118"/>
      <c r="H76" s="118"/>
      <c r="I76" s="118"/>
      <c r="J76" s="118"/>
      <c r="K76" s="118"/>
      <c r="L76" s="118"/>
      <c r="M76" s="116"/>
      <c r="N76" s="116"/>
      <c r="O76" s="9"/>
      <c r="P76" s="7"/>
      <c r="Q76" s="271"/>
      <c r="R76" s="18"/>
      <c r="T76" s="11"/>
      <c r="U76" s="11"/>
      <c r="V76" s="11"/>
      <c r="W76" s="11"/>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ht="63.75">
      <c r="B77" s="17"/>
      <c r="C77" s="356"/>
      <c r="E77" s="342"/>
      <c r="F77" s="364" t="s">
        <v>197</v>
      </c>
      <c r="G77" s="364"/>
      <c r="H77" s="364"/>
      <c r="I77" s="364"/>
      <c r="J77" s="364"/>
      <c r="K77" s="364"/>
      <c r="L77" s="364"/>
      <c r="M77" s="364"/>
      <c r="N77" s="116"/>
      <c r="O77" s="279" t="s">
        <v>196</v>
      </c>
      <c r="P77" s="9">
        <f>IF(O77='Puntaje Cuali'!$C$17,'Puntaje Cuali'!$E$17,IF(O77='Puntaje Cuali'!$C$18,'Puntaje Cuali'!$E$18,IF(O77='Puntaje Cuali'!$C$19,'Puntaje Cuali'!$E$19,IF(O77='Puntaje Cuali'!$C$20,'Puntaje Cuali'!$E$20,""))))</f>
        <v>60</v>
      </c>
      <c r="Q77" s="271"/>
      <c r="R77" s="18"/>
      <c r="U77" s="41"/>
      <c r="V77" s="41"/>
    </row>
    <row r="78" spans="1:53" s="10" customFormat="1" ht="7.5" customHeight="1">
      <c r="A78" s="7"/>
      <c r="B78" s="17"/>
      <c r="C78" s="356"/>
      <c r="D78" s="7"/>
      <c r="E78" s="342"/>
      <c r="F78" s="118"/>
      <c r="G78" s="118"/>
      <c r="H78" s="118"/>
      <c r="I78" s="118"/>
      <c r="J78" s="118"/>
      <c r="K78" s="118"/>
      <c r="L78" s="118"/>
      <c r="M78" s="116"/>
      <c r="N78" s="116"/>
      <c r="O78" s="9"/>
      <c r="P78" s="7"/>
      <c r="Q78" s="271"/>
      <c r="R78" s="18"/>
      <c r="T78" s="11"/>
      <c r="U78" s="11"/>
      <c r="V78" s="11"/>
      <c r="W78" s="11"/>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ht="25.5">
      <c r="B79" s="17"/>
      <c r="C79" s="356"/>
      <c r="E79" s="342"/>
      <c r="F79" s="364" t="s">
        <v>201</v>
      </c>
      <c r="G79" s="364"/>
      <c r="H79" s="364"/>
      <c r="I79" s="364"/>
      <c r="J79" s="364"/>
      <c r="K79" s="364"/>
      <c r="L79" s="364"/>
      <c r="M79" s="364"/>
      <c r="N79" s="116"/>
      <c r="O79" s="279" t="s">
        <v>198</v>
      </c>
      <c r="P79" s="9">
        <f>IF(O79='Puntaje Cuali'!$C$21,'Puntaje Cuali'!$E$21,IF(O79='Puntaje Cuali'!$C$22,'Puntaje Cuali'!$E$22,IF(O79='Puntaje Cuali'!$C$23,'Puntaje Cuali'!$E$23,IF(O79='Puntaje Cuali'!$C$24,'Puntaje Cuali'!$E$24,""))))</f>
        <v>123</v>
      </c>
      <c r="Q79" s="271"/>
      <c r="R79" s="18"/>
      <c r="U79" s="41"/>
      <c r="V79" s="41"/>
    </row>
    <row r="80" spans="1:53" s="10" customFormat="1" ht="7.5" customHeight="1">
      <c r="A80" s="7"/>
      <c r="B80" s="17"/>
      <c r="C80" s="357"/>
      <c r="D80" s="7"/>
      <c r="E80" s="343"/>
      <c r="F80" s="275"/>
      <c r="G80" s="275"/>
      <c r="H80" s="275"/>
      <c r="I80" s="275"/>
      <c r="J80" s="275"/>
      <c r="K80" s="275"/>
      <c r="L80" s="275"/>
      <c r="M80" s="163"/>
      <c r="N80" s="163"/>
      <c r="O80" s="276"/>
      <c r="P80" s="165"/>
      <c r="Q80" s="272"/>
      <c r="R80" s="18"/>
      <c r="T80" s="11"/>
      <c r="U80" s="11"/>
      <c r="V80" s="11"/>
      <c r="W80" s="11"/>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row>
    <row r="81" spans="1:53" s="10" customFormat="1" ht="7.5" customHeight="1" thickBot="1">
      <c r="A81" s="7"/>
      <c r="B81" s="17"/>
      <c r="C81" s="7"/>
      <c r="D81" s="7"/>
      <c r="E81" s="7"/>
      <c r="F81" s="118"/>
      <c r="G81" s="116"/>
      <c r="H81" s="116"/>
      <c r="I81" s="19"/>
      <c r="J81" s="7"/>
      <c r="K81" s="7"/>
      <c r="L81" s="118"/>
      <c r="M81" s="116"/>
      <c r="N81" s="116"/>
      <c r="O81" s="19"/>
      <c r="P81" s="7"/>
      <c r="Q81" s="7"/>
      <c r="R81" s="18"/>
      <c r="S81" s="44"/>
      <c r="T81" s="41"/>
      <c r="U81" s="41"/>
      <c r="V81" s="41"/>
      <c r="W81" s="41"/>
      <c r="X81" s="41"/>
      <c r="Y81" s="41"/>
      <c r="Z81" s="41"/>
      <c r="AA81" s="41"/>
      <c r="AF81" s="7"/>
      <c r="AG81" s="7"/>
      <c r="AH81" s="7"/>
      <c r="AI81" s="7"/>
      <c r="AJ81" s="7"/>
      <c r="AK81" s="7"/>
      <c r="AL81" s="7"/>
      <c r="AM81" s="7"/>
      <c r="AN81" s="7"/>
      <c r="AO81" s="7"/>
      <c r="AP81" s="7"/>
      <c r="AQ81" s="7"/>
      <c r="AR81" s="7"/>
      <c r="AS81" s="7"/>
      <c r="AT81" s="7"/>
      <c r="AU81" s="7"/>
      <c r="AV81" s="7"/>
      <c r="AW81" s="7"/>
      <c r="AX81" s="7"/>
      <c r="AY81" s="7"/>
      <c r="AZ81" s="7"/>
      <c r="BA81" s="7"/>
    </row>
    <row r="82" spans="1:53" s="10" customFormat="1" ht="15" customHeight="1" thickBot="1">
      <c r="A82" s="7"/>
      <c r="B82" s="17"/>
      <c r="C82" s="7"/>
      <c r="D82" s="7"/>
      <c r="F82" s="45" t="s">
        <v>36</v>
      </c>
      <c r="G82" s="360">
        <f>SUM(P31:P65)</f>
        <v>222</v>
      </c>
      <c r="H82" s="361"/>
      <c r="I82" s="46"/>
      <c r="K82" s="47" t="s">
        <v>9</v>
      </c>
      <c r="M82" s="48">
        <f>IF(O14="",0,IF(O14="Pequeño Corporativo",G82,IF(T16=TRUE,G82,IF(O14="Grande Corporativo",G82*0.85+G84*0.15))))</f>
        <v>287.84999999999997</v>
      </c>
      <c r="Q82" s="7"/>
      <c r="R82" s="18"/>
      <c r="S82" s="44"/>
      <c r="T82" s="41"/>
      <c r="U82" s="41"/>
      <c r="V82" s="41"/>
      <c r="W82" s="41"/>
      <c r="X82" s="41"/>
      <c r="Y82" s="41"/>
      <c r="Z82" s="41"/>
      <c r="AA82" s="41"/>
      <c r="AF82" s="7"/>
      <c r="AG82" s="7"/>
      <c r="AH82" s="7"/>
      <c r="AI82" s="7"/>
      <c r="AJ82" s="7"/>
      <c r="AK82" s="7"/>
      <c r="AL82" s="7"/>
      <c r="AM82" s="7"/>
      <c r="AN82" s="7"/>
      <c r="AO82" s="7"/>
      <c r="AP82" s="7"/>
      <c r="AQ82" s="7"/>
      <c r="AR82" s="7"/>
      <c r="AS82" s="7"/>
      <c r="AT82" s="7"/>
      <c r="AU82" s="7"/>
      <c r="AV82" s="7"/>
      <c r="AW82" s="7"/>
      <c r="AX82" s="7"/>
      <c r="AY82" s="7"/>
      <c r="AZ82" s="7"/>
      <c r="BA82" s="7"/>
    </row>
    <row r="83" spans="1:53" s="10" customFormat="1" ht="7.5" customHeight="1">
      <c r="A83" s="7"/>
      <c r="B83" s="17"/>
      <c r="C83" s="7"/>
      <c r="D83" s="7"/>
      <c r="F83" s="45"/>
      <c r="G83" s="277"/>
      <c r="H83" s="277"/>
      <c r="I83" s="46"/>
      <c r="K83" s="47"/>
      <c r="M83" s="9"/>
      <c r="O83"/>
      <c r="P83"/>
      <c r="Q83" s="7"/>
      <c r="R83" s="18"/>
      <c r="S83" s="44"/>
      <c r="T83" s="41"/>
      <c r="U83" s="41"/>
      <c r="V83" s="41"/>
      <c r="W83" s="41"/>
      <c r="X83" s="41"/>
      <c r="Y83" s="41"/>
      <c r="Z83" s="41"/>
      <c r="AA83" s="41"/>
      <c r="AF83" s="7"/>
      <c r="AG83" s="7"/>
      <c r="AH83" s="7"/>
      <c r="AI83" s="7"/>
      <c r="AJ83" s="7"/>
      <c r="AK83" s="7"/>
      <c r="AL83" s="7"/>
      <c r="AM83" s="7"/>
      <c r="AN83" s="7"/>
      <c r="AO83" s="7"/>
      <c r="AP83" s="7"/>
      <c r="AQ83" s="7"/>
      <c r="AR83" s="7"/>
      <c r="AS83" s="7"/>
      <c r="AT83" s="7"/>
      <c r="AU83" s="7"/>
      <c r="AV83" s="7"/>
      <c r="AW83" s="7"/>
      <c r="AX83" s="7"/>
      <c r="AY83" s="7"/>
      <c r="AZ83" s="7"/>
      <c r="BA83" s="7"/>
    </row>
    <row r="84" spans="1:53" s="10" customFormat="1" ht="15" customHeight="1">
      <c r="A84" s="7"/>
      <c r="B84" s="17"/>
      <c r="C84" s="7"/>
      <c r="D84" s="7"/>
      <c r="F84" s="45" t="s">
        <v>207</v>
      </c>
      <c r="G84" s="360">
        <f>IF(T16=TRUE,0,SUM(P69:P79))</f>
        <v>661</v>
      </c>
      <c r="H84" s="361"/>
      <c r="I84" s="46"/>
      <c r="K84" s="122" t="s">
        <v>10</v>
      </c>
      <c r="L84" s="124"/>
      <c r="M84" s="123">
        <f>IF(O20="Si",100%,IF(O24="Etapa 3",100%,1/(1+EXP(-(500-M82)*(LN(2))/40))))</f>
        <v>1</v>
      </c>
      <c r="O84"/>
      <c r="P84"/>
      <c r="Q84" s="7"/>
      <c r="R84" s="18"/>
      <c r="S84" s="44"/>
      <c r="T84" s="41"/>
      <c r="U84" s="41"/>
      <c r="V84" s="41"/>
      <c r="W84" s="41"/>
      <c r="X84" s="41"/>
      <c r="Y84" s="41"/>
      <c r="Z84" s="41"/>
      <c r="AA84" s="41"/>
      <c r="AF84" s="7"/>
      <c r="AG84" s="7"/>
      <c r="AH84" s="7"/>
      <c r="AI84" s="7"/>
      <c r="AJ84" s="7"/>
      <c r="AK84" s="7"/>
      <c r="AL84" s="7"/>
      <c r="AM84" s="7"/>
      <c r="AN84" s="7"/>
      <c r="AO84" s="7"/>
      <c r="AP84" s="7"/>
      <c r="AQ84" s="7"/>
      <c r="AR84" s="7"/>
      <c r="AS84" s="7"/>
      <c r="AT84" s="7"/>
      <c r="AU84" s="7"/>
      <c r="AV84" s="7"/>
      <c r="AW84" s="7"/>
      <c r="AX84" s="7"/>
      <c r="AY84" s="7"/>
      <c r="AZ84" s="7"/>
      <c r="BA84" s="7"/>
    </row>
    <row r="85" spans="1:53" ht="7.5" customHeight="1">
      <c r="B85" s="17"/>
      <c r="F85" s="7"/>
      <c r="G85" s="7"/>
      <c r="H85" s="7"/>
      <c r="I85" s="7"/>
      <c r="J85" s="7"/>
      <c r="K85" s="7"/>
      <c r="L85" s="7"/>
      <c r="M85" s="7"/>
      <c r="N85" s="49"/>
      <c r="R85" s="18"/>
      <c r="T85" s="50"/>
      <c r="U85" s="51"/>
      <c r="V85" s="52"/>
      <c r="Y85" s="10"/>
      <c r="Z85" s="10"/>
    </row>
    <row r="86" spans="1:53" ht="15.75">
      <c r="B86" s="17"/>
      <c r="C86" s="21" t="s">
        <v>11</v>
      </c>
      <c r="D86" s="22"/>
      <c r="E86" s="22"/>
      <c r="F86" s="23"/>
      <c r="G86" s="23"/>
      <c r="H86" s="23"/>
      <c r="I86" s="23"/>
      <c r="J86" s="23"/>
      <c r="K86" s="23"/>
      <c r="L86" s="23"/>
      <c r="M86" s="23"/>
      <c r="N86" s="24"/>
      <c r="O86" s="25"/>
      <c r="P86" s="23"/>
      <c r="Q86" s="23"/>
      <c r="R86" s="18"/>
      <c r="T86" s="50"/>
      <c r="U86" s="51"/>
      <c r="V86" s="52"/>
      <c r="Y86" s="10"/>
      <c r="Z86" s="53"/>
      <c r="AA86" s="54"/>
      <c r="AB86" s="54"/>
      <c r="AC86" s="54"/>
      <c r="AD86" s="54"/>
      <c r="AE86" s="54"/>
      <c r="AF86" s="54"/>
      <c r="AG86" s="54"/>
      <c r="AH86" s="54"/>
      <c r="AI86" s="54"/>
    </row>
    <row r="87" spans="1:53" ht="5.0999999999999996" customHeight="1">
      <c r="B87" s="17"/>
      <c r="F87" s="7"/>
      <c r="G87" s="7"/>
      <c r="H87" s="7"/>
      <c r="I87" s="7"/>
      <c r="J87" s="7"/>
      <c r="K87" s="7"/>
      <c r="L87" s="7"/>
      <c r="M87" s="7"/>
      <c r="N87" s="49"/>
      <c r="R87" s="18"/>
      <c r="T87" s="50"/>
      <c r="U87" s="51"/>
      <c r="V87" s="52"/>
      <c r="Y87" s="10"/>
      <c r="Z87" s="53"/>
      <c r="AA87" s="54"/>
      <c r="AB87" s="54"/>
      <c r="AC87" s="54"/>
      <c r="AD87" s="54"/>
      <c r="AE87" s="54"/>
      <c r="AF87" s="54"/>
      <c r="AG87" s="54"/>
      <c r="AH87" s="54"/>
      <c r="AI87" s="54"/>
    </row>
    <row r="88" spans="1:53" ht="15.75" customHeight="1">
      <c r="B88" s="17"/>
      <c r="E88" s="55" t="s">
        <v>215</v>
      </c>
      <c r="F88" s="111"/>
      <c r="K88" s="55" t="s">
        <v>86</v>
      </c>
      <c r="M88" s="366"/>
      <c r="N88" s="367"/>
      <c r="R88" s="18"/>
      <c r="T88" s="50"/>
      <c r="U88" s="51"/>
      <c r="V88" s="52"/>
      <c r="Y88" s="10"/>
      <c r="Z88" s="53"/>
    </row>
    <row r="89" spans="1:53" ht="7.5" customHeight="1" thickBot="1">
      <c r="B89" s="17"/>
      <c r="F89" s="7"/>
      <c r="G89" s="7"/>
      <c r="H89" s="7"/>
      <c r="I89" s="7"/>
      <c r="J89" s="7"/>
      <c r="K89" s="7"/>
      <c r="L89" s="7"/>
      <c r="M89" s="7"/>
      <c r="N89" s="49"/>
      <c r="R89" s="18"/>
      <c r="T89" s="50"/>
      <c r="U89" s="51"/>
      <c r="V89" s="52"/>
      <c r="Y89" s="10"/>
      <c r="Z89" s="53"/>
    </row>
    <row r="90" spans="1:53" ht="15.75" customHeight="1" thickBot="1">
      <c r="B90" s="17"/>
      <c r="E90" s="56" t="s">
        <v>77</v>
      </c>
      <c r="F90" s="7"/>
      <c r="G90" s="7"/>
      <c r="H90" s="7"/>
      <c r="I90" s="7"/>
      <c r="J90" s="7"/>
      <c r="K90" s="7"/>
      <c r="L90" s="7"/>
      <c r="M90" s="9"/>
      <c r="N90" s="49"/>
      <c r="O90" s="56"/>
      <c r="R90" s="18"/>
      <c r="T90" s="50"/>
      <c r="U90" s="51"/>
      <c r="V90" s="52"/>
      <c r="Y90" s="10"/>
      <c r="Z90" s="53"/>
      <c r="AA90" s="57" t="s">
        <v>55</v>
      </c>
      <c r="AB90" s="58" t="s">
        <v>56</v>
      </c>
      <c r="AC90" s="58" t="s">
        <v>57</v>
      </c>
      <c r="AD90" s="296" t="s">
        <v>50</v>
      </c>
      <c r="AE90" s="297"/>
      <c r="AF90" s="296" t="s">
        <v>51</v>
      </c>
      <c r="AG90" s="298"/>
      <c r="AH90" s="296" t="s">
        <v>52</v>
      </c>
      <c r="AI90" s="297"/>
      <c r="AJ90" s="297"/>
      <c r="AK90" s="298"/>
    </row>
    <row r="91" spans="1:53" ht="21" customHeight="1" thickBot="1">
      <c r="B91" s="17"/>
      <c r="C91" s="121" t="s">
        <v>111</v>
      </c>
      <c r="E91" s="280" t="s">
        <v>42</v>
      </c>
      <c r="F91" s="59" t="s">
        <v>16</v>
      </c>
      <c r="G91" s="311" t="s">
        <v>41</v>
      </c>
      <c r="H91" s="307"/>
      <c r="I91" s="308"/>
      <c r="K91" s="60" t="s">
        <v>21</v>
      </c>
      <c r="L91" s="7"/>
      <c r="M91" s="60" t="s">
        <v>43</v>
      </c>
      <c r="N91" s="7"/>
      <c r="O91" s="280" t="s">
        <v>42</v>
      </c>
      <c r="P91" s="113" t="s">
        <v>91</v>
      </c>
      <c r="R91" s="18"/>
      <c r="Y91" s="10"/>
      <c r="Z91" s="61" t="s">
        <v>47</v>
      </c>
      <c r="AA91" s="62" t="s">
        <v>48</v>
      </c>
      <c r="AB91" s="63" t="s">
        <v>58</v>
      </c>
      <c r="AC91" s="63" t="s">
        <v>49</v>
      </c>
      <c r="AD91" s="61" t="s">
        <v>59</v>
      </c>
      <c r="AE91" s="64" t="s">
        <v>22</v>
      </c>
      <c r="AF91" s="61" t="s">
        <v>60</v>
      </c>
      <c r="AG91" s="64" t="s">
        <v>21</v>
      </c>
      <c r="AH91" s="64" t="s">
        <v>53</v>
      </c>
      <c r="AI91" s="64" t="s">
        <v>54</v>
      </c>
      <c r="AJ91" s="61" t="s">
        <v>60</v>
      </c>
      <c r="AK91" s="61" t="s">
        <v>59</v>
      </c>
      <c r="AO91" s="10"/>
      <c r="AP91" s="65" t="s">
        <v>44</v>
      </c>
      <c r="AQ91" s="65" t="s">
        <v>45</v>
      </c>
      <c r="AR91" s="65" t="s">
        <v>46</v>
      </c>
      <c r="AT91" s="10" t="s">
        <v>61</v>
      </c>
      <c r="AU91" s="7">
        <v>1</v>
      </c>
      <c r="AV91" s="7" t="s">
        <v>68</v>
      </c>
      <c r="AW91" s="7">
        <v>1</v>
      </c>
    </row>
    <row r="92" spans="1:53">
      <c r="B92" s="17"/>
      <c r="C92" s="120" t="str">
        <f>IF(G92&gt;0,G92/$O$12,"")</f>
        <v/>
      </c>
      <c r="D92" s="8"/>
      <c r="E92" s="4"/>
      <c r="F92" s="3"/>
      <c r="G92" s="304"/>
      <c r="H92" s="305"/>
      <c r="I92" s="306"/>
      <c r="K92" s="66">
        <f>IF(E92="",0,AG92+AH92)</f>
        <v>0</v>
      </c>
      <c r="L92" s="281"/>
      <c r="M92" s="66">
        <f>IF(E92="",0,(1-(AD92+AF92+AJ92))*(AG92+AH92))</f>
        <v>0</v>
      </c>
      <c r="N92" s="282"/>
      <c r="O92" s="4"/>
      <c r="P92" s="5"/>
      <c r="R92" s="18"/>
      <c r="Y92" s="67">
        <f>IF((K92+K93+K94+K97)&gt;O12,O12-K97,O12)</f>
        <v>472324821</v>
      </c>
      <c r="Z92" s="68">
        <f>G92/$O$12</f>
        <v>0</v>
      </c>
      <c r="AA92" s="69" t="e">
        <f>VLOOKUP(VLOOKUP($E92,$AT$91:$AU$97,2,FALSE),$AN$92:$AR$97,3,FALSE)</f>
        <v>#N/A</v>
      </c>
      <c r="AB92" s="69" t="e">
        <f>VLOOKUP(VLOOKUP($E92,$AT$91:$AU$97,2,FALSE),$AN$92:$AR$97,4,FALSE)</f>
        <v>#N/A</v>
      </c>
      <c r="AC92" s="69" t="e">
        <f>VLOOKUP(VLOOKUP($E92,$AT$91:$AU$97,2,FALSE),$AN$92:$AR$97,5,FALSE)</f>
        <v>#N/A</v>
      </c>
      <c r="AD92" s="69" t="e">
        <f>IF(Z92&lt;AA92,IF(F92="Preferente",0.45,0.75),0)</f>
        <v>#N/A</v>
      </c>
      <c r="AE92" s="70" t="e">
        <f>IF(AD92&gt;0,$O$12,0)</f>
        <v>#N/A</v>
      </c>
      <c r="AF92" s="69" t="e">
        <f>IF(Z92&gt;=AB92,AC92,0)</f>
        <v>#N/A</v>
      </c>
      <c r="AG92" s="70" t="e">
        <f>IF(AF92&gt;0,$O$12,0)</f>
        <v>#N/A</v>
      </c>
      <c r="AH92" s="71" t="e">
        <f>IF(AND(Z92&lt;AB92,Z92&gt;=AA92),G92/AB92,0)</f>
        <v>#N/A</v>
      </c>
      <c r="AI92" s="72" t="e">
        <f>IF(AH92&gt;0,$O$12-AH92,0)</f>
        <v>#N/A</v>
      </c>
      <c r="AJ92" s="69" t="e">
        <f>IF(AH92&gt;0,AC92,0)</f>
        <v>#N/A</v>
      </c>
      <c r="AK92" s="69" t="e">
        <f>IF(AI92&gt;0,VLOOKUP($M$88,$X$121:$Y$133,2),0)</f>
        <v>#N/A</v>
      </c>
      <c r="AN92" s="7">
        <v>1</v>
      </c>
      <c r="AO92" s="10" t="s">
        <v>12</v>
      </c>
      <c r="AP92" s="73">
        <v>0</v>
      </c>
      <c r="AQ92" s="73">
        <v>1.25</v>
      </c>
      <c r="AR92" s="73">
        <v>0.35</v>
      </c>
      <c r="AT92" s="10" t="s">
        <v>62</v>
      </c>
      <c r="AU92" s="7">
        <v>2</v>
      </c>
      <c r="AV92" s="7" t="s">
        <v>70</v>
      </c>
      <c r="AW92" s="7">
        <v>1</v>
      </c>
    </row>
    <row r="93" spans="1:53">
      <c r="B93" s="17"/>
      <c r="C93" s="120" t="str">
        <f t="shared" ref="C93:C94" si="0">IF(G93&gt;0,G93/$O$12,"")</f>
        <v/>
      </c>
      <c r="D93" s="20"/>
      <c r="E93" s="4"/>
      <c r="F93" s="3"/>
      <c r="G93" s="304"/>
      <c r="H93" s="305"/>
      <c r="I93" s="306"/>
      <c r="K93" s="66">
        <f t="shared" ref="K93:K94" si="1">IF(E93="",0,AG93+AH93)</f>
        <v>0</v>
      </c>
      <c r="L93" s="282"/>
      <c r="M93" s="66">
        <f t="shared" ref="M93:M94" si="2">IF(E93="",0,(1-(AD93+AF93+AJ93))*(AG93+AH93))</f>
        <v>0</v>
      </c>
      <c r="N93" s="282"/>
      <c r="O93" s="4"/>
      <c r="P93" s="5"/>
      <c r="R93" s="18"/>
      <c r="X93" s="74"/>
      <c r="Y93" s="75"/>
      <c r="Z93" s="68">
        <f>G93/$O$12</f>
        <v>0</v>
      </c>
      <c r="AA93" s="69" t="e">
        <f>VLOOKUP(VLOOKUP($E93,$AT$91:$AU$97,2,FALSE),$AN$92:$AR$97,3,FALSE)</f>
        <v>#N/A</v>
      </c>
      <c r="AB93" s="69" t="e">
        <f>VLOOKUP(VLOOKUP($E93,$AT$91:$AU$97,2,FALSE),$AN$92:$AR$97,4,FALSE)</f>
        <v>#N/A</v>
      </c>
      <c r="AC93" s="69" t="e">
        <f>VLOOKUP(VLOOKUP($E93,$AT$91:$AU$97,2,FALSE),$AN$92:$AR$97,5,FALSE)</f>
        <v>#N/A</v>
      </c>
      <c r="AD93" s="69" t="e">
        <f>IF(Z93&lt;AA93,IF(F93="Preferente",0.45,0.75),0)</f>
        <v>#N/A</v>
      </c>
      <c r="AE93" s="70" t="e">
        <f t="shared" ref="AE93:AE94" si="3">IF(AD93&gt;0,$O$12,0)</f>
        <v>#N/A</v>
      </c>
      <c r="AF93" s="69" t="e">
        <f t="shared" ref="AF93:AF94" si="4">IF(Z93&gt;=AB93,AC93,0)</f>
        <v>#N/A</v>
      </c>
      <c r="AG93" s="70" t="e">
        <f t="shared" ref="AG93:AG94" si="5">IF(AF93&gt;0,$O$12,0)</f>
        <v>#N/A</v>
      </c>
      <c r="AH93" s="71" t="e">
        <f>IF(AND(Z93&lt;AB93,Z93&gt;=AA93),G93/AB93,0)</f>
        <v>#N/A</v>
      </c>
      <c r="AI93" s="72" t="e">
        <f>IF(AH93&gt;0,$O$12-AH93,0)</f>
        <v>#N/A</v>
      </c>
      <c r="AJ93" s="69" t="e">
        <f t="shared" ref="AJ93:AJ94" si="6">IF(AH93&gt;0,AC93,0)</f>
        <v>#N/A</v>
      </c>
      <c r="AK93" s="69" t="e">
        <f t="shared" ref="AK93:AK94" si="7">IF(AI93&gt;0,VLOOKUP($M$88,$X$121:$Y$133,2),0)</f>
        <v>#N/A</v>
      </c>
      <c r="AN93" s="7">
        <v>2</v>
      </c>
      <c r="AO93" s="10" t="s">
        <v>13</v>
      </c>
      <c r="AP93" s="73">
        <v>0.3</v>
      </c>
      <c r="AQ93" s="73">
        <v>1.4</v>
      </c>
      <c r="AR93" s="73">
        <v>0.35</v>
      </c>
      <c r="AT93" s="10" t="s">
        <v>63</v>
      </c>
      <c r="AU93" s="7">
        <v>2</v>
      </c>
      <c r="AV93" s="7" t="s">
        <v>69</v>
      </c>
      <c r="AW93" s="7">
        <v>1</v>
      </c>
    </row>
    <row r="94" spans="1:53">
      <c r="B94" s="17"/>
      <c r="C94" s="120" t="str">
        <f t="shared" si="0"/>
        <v/>
      </c>
      <c r="D94" s="8"/>
      <c r="E94" s="4"/>
      <c r="F94" s="3"/>
      <c r="G94" s="304"/>
      <c r="H94" s="305"/>
      <c r="I94" s="306"/>
      <c r="K94" s="66">
        <f t="shared" si="1"/>
        <v>0</v>
      </c>
      <c r="L94" s="282"/>
      <c r="M94" s="66">
        <f t="shared" si="2"/>
        <v>0</v>
      </c>
      <c r="N94" s="282"/>
      <c r="O94" s="4"/>
      <c r="P94" s="5"/>
      <c r="R94" s="18"/>
      <c r="W94" s="76"/>
      <c r="X94" s="68"/>
      <c r="Y94" s="68"/>
      <c r="Z94" s="68">
        <f>G94/$O$12</f>
        <v>0</v>
      </c>
      <c r="AA94" s="69" t="e">
        <f>VLOOKUP(VLOOKUP($E94,$AT$91:$AU$97,2,FALSE),$AN$92:$AR$97,3,FALSE)</f>
        <v>#N/A</v>
      </c>
      <c r="AB94" s="69" t="e">
        <f>VLOOKUP(VLOOKUP($E94,$AT$91:$AU$97,2,FALSE),$AN$92:$AR$97,4,FALSE)</f>
        <v>#N/A</v>
      </c>
      <c r="AC94" s="69" t="e">
        <f>VLOOKUP(VLOOKUP($E94,$AT$91:$AU$97,2,FALSE),$AN$92:$AR$97,5,FALSE)</f>
        <v>#N/A</v>
      </c>
      <c r="AD94" s="69" t="e">
        <f>IF(Z94&lt;AA94,IF(F94="Preferente",0.45,0.75),0)</f>
        <v>#N/A</v>
      </c>
      <c r="AE94" s="70" t="e">
        <f t="shared" si="3"/>
        <v>#N/A</v>
      </c>
      <c r="AF94" s="69" t="e">
        <f t="shared" si="4"/>
        <v>#N/A</v>
      </c>
      <c r="AG94" s="70" t="e">
        <f t="shared" si="5"/>
        <v>#N/A</v>
      </c>
      <c r="AH94" s="71" t="e">
        <f>IF(AND(Z94&lt;AB94,Z94&gt;=AA94),G94/AB94,0)</f>
        <v>#N/A</v>
      </c>
      <c r="AI94" s="72" t="e">
        <f>IF(AH94&gt;0,$O$12-AH94,0)</f>
        <v>#N/A</v>
      </c>
      <c r="AJ94" s="69" t="e">
        <f t="shared" si="6"/>
        <v>#N/A</v>
      </c>
      <c r="AK94" s="69" t="e">
        <f t="shared" si="7"/>
        <v>#N/A</v>
      </c>
      <c r="AN94" s="7">
        <v>3</v>
      </c>
      <c r="AO94" s="10" t="s">
        <v>14</v>
      </c>
      <c r="AP94" s="73">
        <v>0.3</v>
      </c>
      <c r="AQ94" s="73">
        <v>1.4</v>
      </c>
      <c r="AR94" s="73">
        <v>0.4</v>
      </c>
      <c r="AT94" s="10" t="s">
        <v>66</v>
      </c>
      <c r="AU94" s="7">
        <v>3</v>
      </c>
      <c r="AV94" s="7" t="s">
        <v>72</v>
      </c>
      <c r="AW94" s="7">
        <v>2</v>
      </c>
    </row>
    <row r="95" spans="1:53" ht="16.5" thickBot="1">
      <c r="B95" s="17"/>
      <c r="C95" s="121"/>
      <c r="D95" s="116"/>
      <c r="E95" s="56" t="s">
        <v>78</v>
      </c>
      <c r="F95" s="7"/>
      <c r="G95" s="7"/>
      <c r="H95" s="7"/>
      <c r="I95" s="7"/>
      <c r="K95" s="9"/>
      <c r="L95" s="7"/>
      <c r="M95" s="9"/>
      <c r="N95" s="49"/>
      <c r="P95" s="283">
        <f>SUM(P92:P94)</f>
        <v>0</v>
      </c>
      <c r="R95" s="18"/>
      <c r="W95" s="77"/>
      <c r="Y95" s="10"/>
      <c r="Z95" s="10"/>
      <c r="AN95" s="7">
        <v>4</v>
      </c>
      <c r="AO95" s="10" t="s">
        <v>15</v>
      </c>
      <c r="AP95" s="73">
        <v>0.25</v>
      </c>
      <c r="AQ95" s="73">
        <v>1.25</v>
      </c>
      <c r="AR95" s="73">
        <v>0.1</v>
      </c>
      <c r="AT95" s="10" t="s">
        <v>65</v>
      </c>
      <c r="AU95" s="7">
        <v>3</v>
      </c>
      <c r="AV95" s="7" t="s">
        <v>73</v>
      </c>
      <c r="AW95" s="7">
        <v>2</v>
      </c>
    </row>
    <row r="96" spans="1:53" ht="21" customHeight="1" thickBot="1">
      <c r="B96" s="17"/>
      <c r="C96" s="121" t="s">
        <v>91</v>
      </c>
      <c r="D96" s="116"/>
      <c r="E96" s="280" t="s">
        <v>42</v>
      </c>
      <c r="F96" s="59" t="s">
        <v>79</v>
      </c>
      <c r="G96" s="307" t="s">
        <v>41</v>
      </c>
      <c r="H96" s="307"/>
      <c r="I96" s="308"/>
      <c r="K96" s="60" t="s">
        <v>21</v>
      </c>
      <c r="L96" s="7"/>
      <c r="M96" s="60" t="s">
        <v>43</v>
      </c>
      <c r="N96" s="7"/>
      <c r="O96" s="60"/>
      <c r="R96" s="18"/>
      <c r="W96" s="77"/>
      <c r="Y96" s="10"/>
      <c r="Z96" s="61" t="s">
        <v>74</v>
      </c>
      <c r="AA96" s="61" t="s">
        <v>75</v>
      </c>
      <c r="AB96" s="61" t="s">
        <v>76</v>
      </c>
      <c r="AC96" s="78" t="s">
        <v>41</v>
      </c>
      <c r="AD96" s="61" t="s">
        <v>81</v>
      </c>
      <c r="AE96" s="61" t="s">
        <v>81</v>
      </c>
      <c r="AF96" s="64" t="s">
        <v>82</v>
      </c>
      <c r="AG96" s="64" t="s">
        <v>83</v>
      </c>
      <c r="AN96" s="7">
        <v>5</v>
      </c>
      <c r="AO96" s="10" t="s">
        <v>17</v>
      </c>
      <c r="AP96" s="73">
        <v>1</v>
      </c>
      <c r="AQ96" s="73">
        <v>2</v>
      </c>
      <c r="AR96" s="73">
        <v>0.1</v>
      </c>
      <c r="AT96" s="10" t="s">
        <v>64</v>
      </c>
      <c r="AU96" s="7">
        <v>3</v>
      </c>
      <c r="AV96" s="7" t="s">
        <v>71</v>
      </c>
      <c r="AW96" s="7">
        <v>2</v>
      </c>
    </row>
    <row r="97" spans="2:49">
      <c r="B97" s="17"/>
      <c r="C97" s="119" t="str">
        <f>IF(G97&gt;0,G97/$O$12,"")</f>
        <v/>
      </c>
      <c r="D97" s="116"/>
      <c r="E97" s="4"/>
      <c r="F97" s="6"/>
      <c r="G97" s="304"/>
      <c r="H97" s="305"/>
      <c r="I97" s="306"/>
      <c r="K97" s="299">
        <f>AG100</f>
        <v>0</v>
      </c>
      <c r="L97" s="282"/>
      <c r="M97" s="299">
        <f>AG100</f>
        <v>0</v>
      </c>
      <c r="N97" s="282"/>
      <c r="O97" s="299"/>
      <c r="P97" s="310"/>
      <c r="Q97" s="309"/>
      <c r="R97" s="18"/>
      <c r="W97" s="77"/>
      <c r="Y97" s="10"/>
      <c r="Z97" s="79"/>
      <c r="AA97" s="80">
        <v>0</v>
      </c>
      <c r="AB97" s="79">
        <f>IF(F97="SI",0,0.08)</f>
        <v>0.08</v>
      </c>
      <c r="AC97" s="81">
        <f>G97</f>
        <v>0</v>
      </c>
      <c r="AN97" s="7">
        <v>6</v>
      </c>
      <c r="AO97" s="10" t="s">
        <v>18</v>
      </c>
      <c r="AP97" s="73">
        <v>1</v>
      </c>
      <c r="AQ97" s="73">
        <v>1</v>
      </c>
      <c r="AR97" s="73">
        <v>0.25</v>
      </c>
      <c r="AT97" s="10" t="s">
        <v>67</v>
      </c>
      <c r="AU97" s="7">
        <v>4</v>
      </c>
    </row>
    <row r="98" spans="2:49">
      <c r="B98" s="17"/>
      <c r="C98" s="119" t="str">
        <f t="shared" ref="C98:C99" si="8">IF(G98&gt;0,G98/$O$12,"")</f>
        <v/>
      </c>
      <c r="D98" s="116"/>
      <c r="E98" s="4"/>
      <c r="F98" s="6"/>
      <c r="G98" s="304"/>
      <c r="H98" s="305"/>
      <c r="I98" s="306"/>
      <c r="K98" s="300"/>
      <c r="L98" s="282"/>
      <c r="M98" s="300"/>
      <c r="N98" s="282"/>
      <c r="O98" s="300"/>
      <c r="P98" s="310"/>
      <c r="Q98" s="309"/>
      <c r="R98" s="18"/>
      <c r="W98" s="77"/>
      <c r="Y98" s="10"/>
      <c r="Z98" s="79"/>
      <c r="AA98" s="79">
        <v>0</v>
      </c>
      <c r="AB98" s="79">
        <f>IF(F98="SI",0,0.08)</f>
        <v>0.08</v>
      </c>
      <c r="AC98" s="81">
        <f>G98</f>
        <v>0</v>
      </c>
      <c r="AO98" s="10" t="s">
        <v>19</v>
      </c>
      <c r="AP98" s="73"/>
      <c r="AQ98" s="73"/>
      <c r="AR98" s="73"/>
    </row>
    <row r="99" spans="2:49">
      <c r="B99" s="17"/>
      <c r="C99" s="119" t="str">
        <f t="shared" si="8"/>
        <v/>
      </c>
      <c r="D99" s="116"/>
      <c r="E99" s="4"/>
      <c r="F99" s="6"/>
      <c r="G99" s="304"/>
      <c r="H99" s="305"/>
      <c r="I99" s="306"/>
      <c r="K99" s="301"/>
      <c r="L99" s="282"/>
      <c r="M99" s="301"/>
      <c r="N99" s="282"/>
      <c r="O99" s="301"/>
      <c r="P99" s="310"/>
      <c r="Q99" s="309"/>
      <c r="R99" s="18"/>
      <c r="W99" s="77"/>
      <c r="Y99" s="10"/>
      <c r="Z99" s="79"/>
      <c r="AA99" s="79">
        <v>0</v>
      </c>
      <c r="AB99" s="79">
        <f>IF(F99="",0,IF(F99="SI",0,0.08))</f>
        <v>0</v>
      </c>
      <c r="AC99" s="81">
        <f>G99</f>
        <v>0</v>
      </c>
      <c r="AP99" s="50"/>
      <c r="AQ99" s="51"/>
      <c r="AR99" s="82"/>
    </row>
    <row r="100" spans="2:49" ht="5.0999999999999996" customHeight="1">
      <c r="B100" s="17"/>
      <c r="C100" s="9"/>
      <c r="D100" s="8"/>
      <c r="E100" s="8"/>
      <c r="G100" s="55"/>
      <c r="H100" s="55"/>
      <c r="I100" s="55"/>
      <c r="J100" s="7"/>
      <c r="K100" s="7"/>
      <c r="L100" s="55"/>
      <c r="M100" s="7"/>
      <c r="N100" s="7"/>
      <c r="O100" s="7"/>
      <c r="P100" s="55"/>
      <c r="R100" s="18"/>
      <c r="W100" s="76"/>
      <c r="Y100" s="10"/>
      <c r="Z100" s="80">
        <v>0</v>
      </c>
      <c r="AB100" s="7" t="s">
        <v>80</v>
      </c>
      <c r="AC100" s="72">
        <f>SUM(AC97:AC99)</f>
        <v>0</v>
      </c>
      <c r="AD100" s="83" t="e">
        <f>(($AC97/$AC$100)*AA$97)+(($AC98/$AC$100)*AA$98)+(($AC99/$AC$100)*AA$99)</f>
        <v>#DIV/0!</v>
      </c>
      <c r="AE100" s="83" t="e">
        <f>(($AC97/$AC$100)*AB$97)+(($AC98/$AC$100)*AB$98)+(($AC99/$AC$100)*AB$99)</f>
        <v>#DIV/0!</v>
      </c>
      <c r="AF100" s="71">
        <f>IF(AC100=0,0,MAX(0,O12*(1+Z100)-AC100*(1-AD100-AE100)))</f>
        <v>0</v>
      </c>
      <c r="AG100" s="71">
        <f>IF(AC100=0,0,O12-AF100)</f>
        <v>0</v>
      </c>
    </row>
    <row r="101" spans="2:49">
      <c r="B101" s="17"/>
      <c r="D101" s="8"/>
      <c r="E101" s="8"/>
      <c r="G101" s="7"/>
      <c r="H101" s="7"/>
      <c r="I101" s="7"/>
      <c r="J101" s="7"/>
      <c r="K101" s="60" t="s">
        <v>22</v>
      </c>
      <c r="L101" s="7"/>
      <c r="M101" s="60" t="s">
        <v>43</v>
      </c>
      <c r="N101" s="7"/>
      <c r="R101" s="18"/>
      <c r="Y101" s="10"/>
      <c r="Z101" s="10"/>
    </row>
    <row r="102" spans="2:49">
      <c r="B102" s="17"/>
      <c r="D102" s="8"/>
      <c r="E102" s="8"/>
      <c r="G102" s="7"/>
      <c r="H102" s="7"/>
      <c r="I102" s="7"/>
      <c r="J102" s="7"/>
      <c r="K102" s="66">
        <f>MAX(O12-(SUM(K92:K94)+K97+O97),0)</f>
        <v>472324821</v>
      </c>
      <c r="L102" s="7"/>
      <c r="M102" s="66" t="e">
        <f>K102*(1-AK92)</f>
        <v>#N/A</v>
      </c>
      <c r="N102" s="282"/>
      <c r="R102" s="18"/>
      <c r="Y102" s="10"/>
      <c r="Z102" s="10"/>
    </row>
    <row r="103" spans="2:49" ht="5.0999999999999996" customHeight="1">
      <c r="B103" s="17"/>
      <c r="D103" s="8"/>
      <c r="E103" s="8"/>
      <c r="G103" s="7"/>
      <c r="H103" s="7"/>
      <c r="I103" s="7"/>
      <c r="J103" s="7"/>
      <c r="K103" s="7"/>
      <c r="L103" s="7"/>
      <c r="M103" s="7"/>
      <c r="N103" s="7"/>
      <c r="R103" s="18"/>
      <c r="Y103" s="10"/>
      <c r="Z103" s="10"/>
    </row>
    <row r="104" spans="2:49" ht="13.5" thickBot="1">
      <c r="B104" s="17"/>
      <c r="D104" s="8"/>
      <c r="E104" s="8"/>
      <c r="G104" s="55"/>
      <c r="H104" s="55"/>
      <c r="I104" s="55"/>
      <c r="J104" s="55" t="s">
        <v>94</v>
      </c>
      <c r="K104" s="84">
        <f>MIN(SUM(K92:K94)+K97+K102,O12)</f>
        <v>472324821</v>
      </c>
      <c r="L104" s="55"/>
      <c r="M104" s="85" t="e">
        <f>MIN(SUM(M92:M94)+M97+M102,O12)</f>
        <v>#N/A</v>
      </c>
      <c r="N104" s="86"/>
      <c r="P104" s="87"/>
      <c r="R104" s="18"/>
      <c r="Z104" s="128" t="s">
        <v>95</v>
      </c>
    </row>
    <row r="105" spans="2:49" ht="5.0999999999999996" customHeight="1">
      <c r="B105" s="17"/>
      <c r="D105" s="8"/>
      <c r="E105" s="8"/>
      <c r="G105" s="55"/>
      <c r="H105" s="55"/>
      <c r="I105" s="55"/>
      <c r="J105" s="7"/>
      <c r="L105" s="55"/>
      <c r="M105" s="88"/>
      <c r="N105" s="88"/>
      <c r="O105" s="88"/>
      <c r="P105" s="88"/>
      <c r="R105" s="18"/>
      <c r="T105" s="50"/>
      <c r="U105" s="51"/>
      <c r="V105" s="82"/>
      <c r="Z105" s="302" t="s">
        <v>96</v>
      </c>
      <c r="AA105" s="302" t="s">
        <v>97</v>
      </c>
    </row>
    <row r="106" spans="2:49" ht="15" customHeight="1" thickBot="1">
      <c r="B106" s="17"/>
      <c r="F106" s="7"/>
      <c r="G106" s="7"/>
      <c r="H106" s="7"/>
      <c r="I106" s="7"/>
      <c r="J106" s="7"/>
      <c r="K106" s="122" t="s">
        <v>20</v>
      </c>
      <c r="L106" s="124"/>
      <c r="M106" s="125" t="str">
        <f>IF(M88="","",IF(M88&gt;36,1,IF((K92+K93+K94+K97)=0,VLOOKUP(M88,$X$121:$Y$133,2),MAX(1-(M104/K104),0))))</f>
        <v/>
      </c>
      <c r="N106" s="88"/>
      <c r="R106" s="18"/>
      <c r="T106" s="76"/>
      <c r="U106" s="76"/>
      <c r="V106" s="76"/>
      <c r="Z106" s="303"/>
      <c r="AA106" s="303"/>
      <c r="AC106" s="10"/>
      <c r="AD106" s="68"/>
      <c r="AE106" s="68"/>
      <c r="AF106" s="68"/>
      <c r="AG106" s="68"/>
      <c r="AH106" s="89"/>
      <c r="AJ106" s="10"/>
      <c r="AK106" s="68"/>
      <c r="AL106" s="68"/>
      <c r="AM106" s="89"/>
      <c r="AO106" s="10"/>
      <c r="AP106" s="68"/>
      <c r="AQ106" s="68"/>
      <c r="AR106" s="89"/>
      <c r="AS106" s="10"/>
      <c r="AT106" s="10"/>
      <c r="AU106" s="68"/>
      <c r="AV106" s="68"/>
      <c r="AW106" s="89"/>
    </row>
    <row r="107" spans="2:49" ht="8.1" customHeight="1" thickBot="1">
      <c r="B107" s="17"/>
      <c r="F107" s="7"/>
      <c r="G107" s="7"/>
      <c r="H107" s="7"/>
      <c r="I107" s="7"/>
      <c r="J107" s="7"/>
      <c r="K107" s="7"/>
      <c r="L107" s="7"/>
      <c r="M107" s="7"/>
      <c r="N107" s="7"/>
      <c r="R107" s="18"/>
      <c r="T107" s="76" t="b">
        <v>1</v>
      </c>
      <c r="U107" s="76"/>
      <c r="V107" s="90"/>
      <c r="X107" s="10">
        <v>0</v>
      </c>
      <c r="Y107" s="7">
        <v>0.9</v>
      </c>
      <c r="Z107" s="129" t="s">
        <v>26</v>
      </c>
      <c r="AA107" s="129" t="s">
        <v>98</v>
      </c>
      <c r="AC107" s="10"/>
      <c r="AD107" s="92"/>
      <c r="AE107" s="92"/>
      <c r="AF107" s="92"/>
      <c r="AG107" s="92"/>
      <c r="AH107" s="91"/>
      <c r="AO107" s="10"/>
      <c r="AP107" s="93"/>
      <c r="AQ107" s="93"/>
      <c r="AR107" s="93"/>
      <c r="AT107" s="10"/>
      <c r="AU107" s="93"/>
      <c r="AV107" s="93"/>
      <c r="AW107" s="93"/>
    </row>
    <row r="108" spans="2:49" ht="16.5" thickBot="1">
      <c r="B108" s="17"/>
      <c r="C108" s="21" t="s">
        <v>23</v>
      </c>
      <c r="D108" s="22"/>
      <c r="E108" s="22"/>
      <c r="F108" s="23"/>
      <c r="G108" s="23"/>
      <c r="H108" s="23"/>
      <c r="I108" s="23"/>
      <c r="J108" s="23"/>
      <c r="K108" s="23"/>
      <c r="L108" s="23"/>
      <c r="M108" s="23"/>
      <c r="N108" s="24"/>
      <c r="O108" s="25"/>
      <c r="P108" s="23"/>
      <c r="Q108" s="23"/>
      <c r="R108" s="18"/>
      <c r="T108" s="76"/>
      <c r="U108" s="76"/>
      <c r="V108" s="90"/>
      <c r="X108" s="10">
        <v>0.90100000000000002</v>
      </c>
      <c r="Y108" s="7">
        <v>1.5</v>
      </c>
      <c r="Z108" s="129" t="s">
        <v>27</v>
      </c>
      <c r="AA108" s="129" t="s">
        <v>99</v>
      </c>
      <c r="AC108" s="10"/>
      <c r="AD108" s="92"/>
      <c r="AE108" s="92"/>
      <c r="AF108" s="92"/>
      <c r="AG108" s="92"/>
      <c r="AH108" s="91"/>
      <c r="AO108" s="10"/>
      <c r="AP108" s="93"/>
      <c r="AQ108" s="93"/>
      <c r="AR108" s="93"/>
      <c r="AT108" s="10"/>
      <c r="AU108" s="93"/>
      <c r="AV108" s="93"/>
      <c r="AW108" s="93"/>
    </row>
    <row r="109" spans="2:49" ht="8.1" customHeight="1" thickBot="1">
      <c r="B109" s="17"/>
      <c r="F109" s="7"/>
      <c r="G109" s="7"/>
      <c r="H109" s="7"/>
      <c r="I109" s="7"/>
      <c r="J109" s="7"/>
      <c r="K109" s="7"/>
      <c r="L109" s="7"/>
      <c r="M109" s="7"/>
      <c r="N109" s="7"/>
      <c r="R109" s="18"/>
      <c r="T109" s="76"/>
      <c r="U109" s="76"/>
      <c r="V109" s="90"/>
      <c r="X109" s="10">
        <v>1.5009999999999999</v>
      </c>
      <c r="Y109" s="7">
        <v>2</v>
      </c>
      <c r="Z109" s="129" t="s">
        <v>28</v>
      </c>
      <c r="AA109" s="129" t="s">
        <v>100</v>
      </c>
      <c r="AC109" s="10"/>
      <c r="AD109" s="92"/>
      <c r="AE109" s="92"/>
      <c r="AF109" s="92"/>
      <c r="AG109" s="92"/>
      <c r="AH109" s="91"/>
      <c r="AO109" s="10"/>
      <c r="AP109" s="93"/>
      <c r="AQ109" s="93"/>
      <c r="AR109" s="93"/>
      <c r="AT109" s="10"/>
      <c r="AU109" s="93"/>
      <c r="AV109" s="93"/>
      <c r="AW109" s="93"/>
    </row>
    <row r="110" spans="2:49" ht="15" customHeight="1" thickBot="1">
      <c r="B110" s="17"/>
      <c r="K110" s="122" t="s">
        <v>24</v>
      </c>
      <c r="L110" s="124"/>
      <c r="M110" s="126">
        <f>IF(O12="","",IF(O8="Irrevocable",MAX((O12/O10)^-0.5784,1)*O12,O12)*(1-P95))</f>
        <v>472324821</v>
      </c>
      <c r="N110" s="9"/>
      <c r="R110" s="18"/>
      <c r="X110" s="10">
        <v>2.0009999999999999</v>
      </c>
      <c r="Y110" s="7">
        <v>2.5</v>
      </c>
      <c r="Z110" s="129" t="s">
        <v>29</v>
      </c>
      <c r="AA110" s="129" t="s">
        <v>101</v>
      </c>
    </row>
    <row r="111" spans="2:49" ht="8.1" customHeight="1" thickBot="1">
      <c r="B111" s="17"/>
      <c r="F111" s="118"/>
      <c r="G111" s="118"/>
      <c r="H111" s="118"/>
      <c r="I111" s="118"/>
      <c r="J111" s="118"/>
      <c r="K111" s="118"/>
      <c r="L111" s="118"/>
      <c r="M111" s="116"/>
      <c r="N111" s="116"/>
      <c r="O111" s="94"/>
      <c r="R111" s="18"/>
      <c r="S111" s="67"/>
      <c r="X111" s="10">
        <v>2.5009999999999999</v>
      </c>
      <c r="Y111" s="7">
        <v>5</v>
      </c>
      <c r="Z111" s="129" t="s">
        <v>30</v>
      </c>
      <c r="AA111" s="129" t="s">
        <v>102</v>
      </c>
    </row>
    <row r="112" spans="2:49" ht="16.5" thickBot="1">
      <c r="B112" s="17"/>
      <c r="C112" s="21" t="s">
        <v>25</v>
      </c>
      <c r="D112" s="22"/>
      <c r="E112" s="22"/>
      <c r="F112" s="23"/>
      <c r="G112" s="23"/>
      <c r="H112" s="23"/>
      <c r="I112" s="23"/>
      <c r="J112" s="23"/>
      <c r="K112" s="23"/>
      <c r="L112" s="23"/>
      <c r="M112" s="23"/>
      <c r="N112" s="24"/>
      <c r="O112" s="25"/>
      <c r="P112" s="23"/>
      <c r="Q112" s="23"/>
      <c r="R112" s="18"/>
      <c r="S112" s="67"/>
      <c r="X112" s="10">
        <v>5.0010000000000003</v>
      </c>
      <c r="Y112" s="7">
        <v>10</v>
      </c>
      <c r="Z112" s="129" t="s">
        <v>31</v>
      </c>
      <c r="AA112" s="129" t="s">
        <v>103</v>
      </c>
    </row>
    <row r="113" spans="2:28" ht="7.5" customHeight="1" thickBot="1">
      <c r="B113" s="17"/>
      <c r="C113" s="167"/>
      <c r="D113" s="168"/>
      <c r="E113" s="168"/>
      <c r="F113" s="169"/>
      <c r="G113" s="169"/>
      <c r="H113" s="169"/>
      <c r="I113" s="169"/>
      <c r="J113" s="169"/>
      <c r="K113" s="169"/>
      <c r="L113" s="169"/>
      <c r="M113" s="169"/>
      <c r="N113" s="170"/>
      <c r="O113" s="171"/>
      <c r="P113" s="169"/>
      <c r="Q113" s="169"/>
      <c r="R113" s="18"/>
      <c r="S113" s="67"/>
      <c r="X113" s="10">
        <v>10.000999999999999</v>
      </c>
      <c r="Y113" s="7">
        <v>15.5</v>
      </c>
      <c r="Z113" s="129" t="s">
        <v>32</v>
      </c>
      <c r="AA113" s="129" t="s">
        <v>104</v>
      </c>
    </row>
    <row r="114" spans="2:28" ht="15" customHeight="1" thickTop="1" thickBot="1">
      <c r="B114" s="17"/>
      <c r="C114" s="196" t="s">
        <v>133</v>
      </c>
      <c r="D114" s="195"/>
      <c r="E114" s="182"/>
      <c r="F114" s="182"/>
      <c r="G114" s="182"/>
      <c r="H114" s="183"/>
      <c r="I114" s="7"/>
      <c r="J114" s="7"/>
      <c r="K114" s="376" t="s">
        <v>138</v>
      </c>
      <c r="L114" s="169"/>
      <c r="M114" s="175"/>
      <c r="N114" s="176"/>
      <c r="O114" s="177" t="s">
        <v>84</v>
      </c>
      <c r="P114" s="379" t="s">
        <v>85</v>
      </c>
      <c r="Q114" s="380"/>
      <c r="R114" s="18"/>
      <c r="S114" s="67"/>
      <c r="X114" s="10">
        <v>15.500999999999999</v>
      </c>
      <c r="Y114" s="7">
        <v>45</v>
      </c>
      <c r="Z114" s="130" t="s">
        <v>33</v>
      </c>
      <c r="AA114" s="130" t="s">
        <v>105</v>
      </c>
    </row>
    <row r="115" spans="2:28" ht="7.5" customHeight="1" thickBot="1">
      <c r="B115" s="17"/>
      <c r="C115" s="184"/>
      <c r="D115" s="168"/>
      <c r="E115" s="168"/>
      <c r="F115" s="169"/>
      <c r="G115" s="169"/>
      <c r="H115" s="185"/>
      <c r="I115" s="169"/>
      <c r="J115" s="169"/>
      <c r="K115" s="377"/>
      <c r="L115" s="169"/>
      <c r="M115" s="178"/>
      <c r="N115" s="174"/>
      <c r="O115" s="174"/>
      <c r="P115" s="381"/>
      <c r="Q115" s="381"/>
      <c r="R115" s="18"/>
      <c r="S115" s="67"/>
      <c r="X115" s="10">
        <v>45.000999999999998</v>
      </c>
      <c r="Z115" s="129" t="s">
        <v>34</v>
      </c>
      <c r="AA115" s="129" t="s">
        <v>106</v>
      </c>
    </row>
    <row r="116" spans="2:28" ht="15" customHeight="1">
      <c r="B116" s="17"/>
      <c r="C116" s="186" t="s">
        <v>134</v>
      </c>
      <c r="D116" s="168"/>
      <c r="E116" s="168"/>
      <c r="F116" s="169"/>
      <c r="G116" s="172" t="s">
        <v>135</v>
      </c>
      <c r="H116" s="185"/>
      <c r="I116" s="169"/>
      <c r="J116" s="169"/>
      <c r="K116" s="377"/>
      <c r="L116" s="169"/>
      <c r="M116" s="179" t="s">
        <v>108</v>
      </c>
      <c r="N116" s="174"/>
      <c r="O116" s="191" t="b">
        <f>IF(M110="","",IF(O24="","",IF(O24="Etapa 2",IF(C118="Amortización al vencimiento",MAX(M110*M106*M84,((M84*M106*M110)/(G118+M84))*(1-(((1-M84)/(1+G118))^G122))),IF(C118="Amortizaciones periódicas",MAX(M84*M106*M110,((M84*M106*M110)/(1+G118))*((1-(1-M84)^G122)/M84)-((M84*M106*C122)/(G118*(1+G118)))*((1-(1-M84)^G122)/M84)+((M84*M106*C122)/(G118*(G118+M84)))*(1-((1-M84)/(1+G118))^G122)))),M84*M106*M110)))</f>
        <v>0</v>
      </c>
      <c r="P116" s="382">
        <f>IF(M110="","",O116/O12)</f>
        <v>0</v>
      </c>
      <c r="Q116" s="382"/>
      <c r="R116" s="18"/>
      <c r="S116" s="67"/>
      <c r="X116" s="95"/>
      <c r="Y116" s="95"/>
    </row>
    <row r="117" spans="2:28" ht="7.5" customHeight="1">
      <c r="B117" s="17"/>
      <c r="C117" s="186"/>
      <c r="F117" s="169"/>
      <c r="G117" s="192"/>
      <c r="H117" s="193"/>
      <c r="I117" s="169"/>
      <c r="J117" s="169"/>
      <c r="K117" s="377"/>
      <c r="L117" s="7"/>
      <c r="M117" s="179"/>
      <c r="N117" s="174"/>
      <c r="O117" s="191"/>
      <c r="P117" s="382"/>
      <c r="Q117" s="382"/>
      <c r="R117" s="18"/>
      <c r="S117" s="96"/>
      <c r="V117" s="97"/>
      <c r="W117" s="98"/>
      <c r="X117" s="99"/>
      <c r="Y117" s="95"/>
    </row>
    <row r="118" spans="2:28" ht="15" customHeight="1">
      <c r="B118" s="17"/>
      <c r="C118" s="370"/>
      <c r="D118" s="371"/>
      <c r="E118" s="372"/>
      <c r="F118" s="7"/>
      <c r="G118" s="358"/>
      <c r="H118" s="359"/>
      <c r="I118" s="7"/>
      <c r="J118" s="7"/>
      <c r="K118" s="377"/>
      <c r="L118" s="7"/>
      <c r="M118" s="179" t="s">
        <v>92</v>
      </c>
      <c r="N118" s="174"/>
      <c r="O118" s="191">
        <f>IF(M110="","",IF(P95&gt;0,O97*0.005,0))</f>
        <v>0</v>
      </c>
      <c r="P118" s="382">
        <f>IF(M110="","",O118/O12)</f>
        <v>0</v>
      </c>
      <c r="Q118" s="382"/>
      <c r="R118" s="18"/>
      <c r="S118" s="96"/>
      <c r="V118" s="97"/>
      <c r="W118" s="98"/>
      <c r="X118" s="99"/>
      <c r="Y118" s="95"/>
    </row>
    <row r="119" spans="2:28" ht="7.5" customHeight="1">
      <c r="B119" s="17"/>
      <c r="C119" s="188"/>
      <c r="D119"/>
      <c r="E119"/>
      <c r="F119" s="7"/>
      <c r="G119" s="7"/>
      <c r="H119" s="187"/>
      <c r="I119" s="7"/>
      <c r="J119" s="7"/>
      <c r="K119" s="377"/>
      <c r="L119"/>
      <c r="M119" s="179"/>
      <c r="N119" s="174"/>
      <c r="O119" s="191"/>
      <c r="P119" s="382"/>
      <c r="Q119" s="382"/>
      <c r="R119" s="18"/>
      <c r="X119" s="95"/>
      <c r="Y119" s="95"/>
    </row>
    <row r="120" spans="2:28" ht="15" customHeight="1">
      <c r="B120" s="17"/>
      <c r="C120" s="186" t="s">
        <v>137</v>
      </c>
      <c r="G120" s="172" t="s">
        <v>136</v>
      </c>
      <c r="H120" s="189"/>
      <c r="I120"/>
      <c r="J120"/>
      <c r="K120" s="377"/>
      <c r="L120"/>
      <c r="M120" s="179" t="s">
        <v>93</v>
      </c>
      <c r="N120" s="174"/>
      <c r="O120" s="191">
        <f>IF(M110="","",O116+O118)</f>
        <v>0</v>
      </c>
      <c r="P120" s="382">
        <f>IF(M110="","",O120/O12)</f>
        <v>0</v>
      </c>
      <c r="Q120" s="382"/>
      <c r="R120" s="18"/>
      <c r="S120" s="7"/>
      <c r="X120" s="95"/>
      <c r="Y120" s="95"/>
    </row>
    <row r="121" spans="2:28" ht="7.5" customHeight="1">
      <c r="B121" s="17"/>
      <c r="C121" s="186"/>
      <c r="G121" s="192"/>
      <c r="H121" s="194"/>
      <c r="I121"/>
      <c r="J121"/>
      <c r="K121" s="377"/>
      <c r="L121"/>
      <c r="M121" s="179"/>
      <c r="N121" s="174"/>
      <c r="O121" s="174"/>
      <c r="P121" s="381"/>
      <c r="Q121" s="381"/>
      <c r="R121" s="18"/>
      <c r="X121" s="95">
        <v>0</v>
      </c>
      <c r="Y121" s="95">
        <v>0.45</v>
      </c>
    </row>
    <row r="122" spans="2:28" ht="15" customHeight="1" thickBot="1">
      <c r="B122" s="17"/>
      <c r="C122" s="373" t="str">
        <f>IFERROR(IF(M110="","",IF(C118="Amortización al vencimiento","",M110*(1+G118)*((1-(1+G118)^(-1))/(1-(1+G118)^(-G122))))),"")</f>
        <v/>
      </c>
      <c r="D122" s="374"/>
      <c r="E122" s="375"/>
      <c r="F122" s="190"/>
      <c r="G122" s="368"/>
      <c r="H122" s="369"/>
      <c r="I122"/>
      <c r="J122"/>
      <c r="K122" s="378"/>
      <c r="L122"/>
      <c r="M122" s="180" t="s">
        <v>107</v>
      </c>
      <c r="N122" s="181"/>
      <c r="O122" s="383" t="str">
        <f>IF(P120="","",VLOOKUP(P120*100,X107:Z115,3))</f>
        <v>A-1</v>
      </c>
      <c r="P122" s="383"/>
      <c r="Q122" s="384"/>
      <c r="R122" s="18"/>
      <c r="X122" s="95">
        <v>3.0009999999999999</v>
      </c>
      <c r="Y122" s="95">
        <v>0.55000000000000004</v>
      </c>
    </row>
    <row r="123" spans="2:28" ht="7.5" customHeight="1" thickTop="1" thickBot="1">
      <c r="B123" s="100"/>
      <c r="C123" s="101"/>
      <c r="D123" s="101"/>
      <c r="E123" s="101"/>
      <c r="F123" s="101"/>
      <c r="G123" s="101"/>
      <c r="H123" s="101"/>
      <c r="I123" s="101"/>
      <c r="J123" s="101"/>
      <c r="K123" s="101"/>
      <c r="L123" s="101"/>
      <c r="M123" s="101"/>
      <c r="N123" s="101"/>
      <c r="O123" s="102"/>
      <c r="P123" s="101"/>
      <c r="Q123" s="101"/>
      <c r="R123" s="103"/>
      <c r="X123" s="95">
        <f>X122+3</f>
        <v>6.0009999999999994</v>
      </c>
      <c r="Y123" s="95">
        <v>0.62</v>
      </c>
    </row>
    <row r="124" spans="2:28" ht="11.25" customHeight="1" thickTop="1">
      <c r="F124" s="104"/>
      <c r="G124" s="104"/>
      <c r="H124" s="104"/>
      <c r="I124" s="104"/>
      <c r="J124" s="104"/>
      <c r="K124" s="104"/>
      <c r="L124" s="104"/>
      <c r="O124" s="105"/>
      <c r="X124" s="95">
        <f t="shared" ref="X124" si="9">X123+3</f>
        <v>9.0009999999999994</v>
      </c>
      <c r="Y124" s="95">
        <v>0.66</v>
      </c>
    </row>
    <row r="125" spans="2:28">
      <c r="F125" s="106"/>
      <c r="G125" s="198"/>
      <c r="H125" s="106"/>
      <c r="I125" s="106"/>
      <c r="J125" s="106"/>
      <c r="K125" s="106"/>
      <c r="L125" s="106"/>
      <c r="O125" s="107"/>
      <c r="X125" s="95">
        <f>X124+3</f>
        <v>12.000999999999999</v>
      </c>
      <c r="Y125" s="95">
        <v>0.72</v>
      </c>
      <c r="Z125" s="95"/>
      <c r="AA125" s="95"/>
      <c r="AB125" s="95"/>
    </row>
    <row r="126" spans="2:28" ht="15" customHeight="1">
      <c r="F126" s="108"/>
      <c r="G126" s="108"/>
      <c r="H126" s="108"/>
      <c r="I126" s="108"/>
      <c r="J126" s="108"/>
      <c r="K126" s="108"/>
      <c r="L126" s="108"/>
      <c r="O126" s="109"/>
      <c r="X126" s="95">
        <f t="shared" ref="X126:X133" si="10">X125+3</f>
        <v>15.000999999999999</v>
      </c>
      <c r="Y126" s="95">
        <v>0.75</v>
      </c>
      <c r="Z126" s="95"/>
      <c r="AA126" s="95"/>
      <c r="AB126" s="95"/>
    </row>
    <row r="127" spans="2:28">
      <c r="F127" s="104"/>
      <c r="G127" s="104"/>
      <c r="H127" s="104"/>
      <c r="I127" s="104"/>
      <c r="J127" s="104"/>
      <c r="K127" s="104"/>
      <c r="L127" s="104"/>
      <c r="O127" s="110"/>
      <c r="X127" s="95">
        <f t="shared" si="10"/>
        <v>18.000999999999998</v>
      </c>
      <c r="Y127" s="95">
        <v>0.78</v>
      </c>
      <c r="Z127" s="95"/>
      <c r="AA127" s="95"/>
      <c r="AB127" s="95"/>
    </row>
    <row r="128" spans="2:28">
      <c r="G128" s="197"/>
      <c r="X128" s="95">
        <f t="shared" si="10"/>
        <v>21.000999999999998</v>
      </c>
      <c r="Y128" s="95">
        <v>0.81</v>
      </c>
      <c r="Z128" s="95"/>
      <c r="AA128" s="95"/>
      <c r="AB128" s="95"/>
    </row>
    <row r="129" spans="24:28">
      <c r="X129" s="95">
        <f t="shared" si="10"/>
        <v>24.000999999999998</v>
      </c>
      <c r="Y129" s="95">
        <v>0.88</v>
      </c>
      <c r="Z129" s="95"/>
      <c r="AA129" s="95"/>
      <c r="AB129" s="95"/>
    </row>
    <row r="130" spans="24:28">
      <c r="X130" s="95">
        <f t="shared" si="10"/>
        <v>27.000999999999998</v>
      </c>
      <c r="Y130" s="95">
        <v>0.91</v>
      </c>
      <c r="Z130" s="95"/>
      <c r="AA130" s="95"/>
      <c r="AB130" s="95"/>
    </row>
    <row r="131" spans="24:28">
      <c r="X131" s="95">
        <f t="shared" si="10"/>
        <v>30.000999999999998</v>
      </c>
      <c r="Y131" s="95">
        <v>0.94</v>
      </c>
      <c r="Z131" s="95"/>
      <c r="AA131" s="95"/>
      <c r="AB131" s="95"/>
    </row>
    <row r="132" spans="24:28" ht="15">
      <c r="X132" s="95">
        <f t="shared" si="10"/>
        <v>33.000999999999998</v>
      </c>
      <c r="Y132" s="95">
        <v>0.96</v>
      </c>
      <c r="AB132" s="127"/>
    </row>
    <row r="133" spans="24:28">
      <c r="X133" s="95">
        <f t="shared" si="10"/>
        <v>36.000999999999998</v>
      </c>
      <c r="Y133" s="95">
        <v>1</v>
      </c>
    </row>
  </sheetData>
  <mergeCells count="79">
    <mergeCell ref="F43:M43"/>
    <mergeCell ref="F65:M65"/>
    <mergeCell ref="F45:M45"/>
    <mergeCell ref="F47:M47"/>
    <mergeCell ref="F49:M49"/>
    <mergeCell ref="F51:M51"/>
    <mergeCell ref="F63:M63"/>
    <mergeCell ref="F53:M53"/>
    <mergeCell ref="F55:M55"/>
    <mergeCell ref="F57:M57"/>
    <mergeCell ref="F59:M59"/>
    <mergeCell ref="F61:M61"/>
    <mergeCell ref="G122:H122"/>
    <mergeCell ref="AA105:AA106"/>
    <mergeCell ref="C118:E118"/>
    <mergeCell ref="C122:E122"/>
    <mergeCell ref="K114:K122"/>
    <mergeCell ref="P114:Q114"/>
    <mergeCell ref="P115:Q115"/>
    <mergeCell ref="P116:Q116"/>
    <mergeCell ref="P117:Q117"/>
    <mergeCell ref="P118:Q118"/>
    <mergeCell ref="P119:Q119"/>
    <mergeCell ref="P120:Q120"/>
    <mergeCell ref="P121:Q121"/>
    <mergeCell ref="O122:Q122"/>
    <mergeCell ref="C30:C66"/>
    <mergeCell ref="G118:H118"/>
    <mergeCell ref="G82:H82"/>
    <mergeCell ref="F37:M37"/>
    <mergeCell ref="F39:M39"/>
    <mergeCell ref="F79:M79"/>
    <mergeCell ref="F69:M69"/>
    <mergeCell ref="F71:M71"/>
    <mergeCell ref="F73:M73"/>
    <mergeCell ref="F75:M75"/>
    <mergeCell ref="F77:M77"/>
    <mergeCell ref="G84:H84"/>
    <mergeCell ref="M88:N88"/>
    <mergeCell ref="C68:C80"/>
    <mergeCell ref="E68:E80"/>
    <mergeCell ref="E42:E65"/>
    <mergeCell ref="C18:Q18"/>
    <mergeCell ref="E22:E24"/>
    <mergeCell ref="O14:P14"/>
    <mergeCell ref="F20:M20"/>
    <mergeCell ref="F22:M22"/>
    <mergeCell ref="G16:K16"/>
    <mergeCell ref="F24:M24"/>
    <mergeCell ref="G91:I91"/>
    <mergeCell ref="G92:I92"/>
    <mergeCell ref="G93:I93"/>
    <mergeCell ref="C3:Q3"/>
    <mergeCell ref="C4:Q4"/>
    <mergeCell ref="F26:M26"/>
    <mergeCell ref="E30:E34"/>
    <mergeCell ref="F33:M33"/>
    <mergeCell ref="G14:H14"/>
    <mergeCell ref="E36:E39"/>
    <mergeCell ref="G6:H6"/>
    <mergeCell ref="F31:M31"/>
    <mergeCell ref="G8:L8"/>
    <mergeCell ref="G12:H12"/>
    <mergeCell ref="G10:H10"/>
    <mergeCell ref="I10:L10"/>
    <mergeCell ref="G94:I94"/>
    <mergeCell ref="G96:I96"/>
    <mergeCell ref="G97:I97"/>
    <mergeCell ref="O97:O99"/>
    <mergeCell ref="Q97:Q99"/>
    <mergeCell ref="P97:P99"/>
    <mergeCell ref="G98:I98"/>
    <mergeCell ref="G99:I99"/>
    <mergeCell ref="M97:M99"/>
    <mergeCell ref="AH90:AK90"/>
    <mergeCell ref="AD90:AE90"/>
    <mergeCell ref="AF90:AG90"/>
    <mergeCell ref="K97:K99"/>
    <mergeCell ref="Z105:Z106"/>
  </mergeCells>
  <conditionalFormatting sqref="O26:O30 E26:F28 O32">
    <cfRule type="cellIs" dxfId="58" priority="180" operator="equal">
      <formula>"NP"</formula>
    </cfRule>
  </conditionalFormatting>
  <conditionalFormatting sqref="Q97:Q99">
    <cfRule type="cellIs" dxfId="57" priority="179" operator="equal">
      <formula>"Requerida"</formula>
    </cfRule>
  </conditionalFormatting>
  <conditionalFormatting sqref="O37">
    <cfRule type="expression" dxfId="56" priority="175">
      <formula>$J$12="SI"</formula>
    </cfRule>
  </conditionalFormatting>
  <conditionalFormatting sqref="C114 C116 G116 C120 G120">
    <cfRule type="expression" dxfId="55" priority="110">
      <formula>$O$24&lt;&gt;"Etapa 2"</formula>
    </cfRule>
  </conditionalFormatting>
  <conditionalFormatting sqref="C118:E118 C122:E122 G118:H118 G122:H122">
    <cfRule type="expression" dxfId="54" priority="109">
      <formula>$O$24&lt;&gt;"Etapa 2"</formula>
    </cfRule>
  </conditionalFormatting>
  <conditionalFormatting sqref="F45:P45">
    <cfRule type="expression" dxfId="53" priority="77">
      <formula>$G$16="Servicios"</formula>
    </cfRule>
    <cfRule type="expression" dxfId="52" priority="78">
      <formula>$G$16="Comercio"</formula>
    </cfRule>
    <cfRule type="expression" dxfId="51" priority="80">
      <formula>$G$16="Explotación, Energía y Construcción"</formula>
    </cfRule>
  </conditionalFormatting>
  <conditionalFormatting sqref="F47:P47">
    <cfRule type="expression" dxfId="50" priority="72">
      <formula>$G$16="Servicios"</formula>
    </cfRule>
    <cfRule type="expression" dxfId="49" priority="75">
      <formula>$G$16="Explotación, Energía y Construcción"</formula>
    </cfRule>
  </conditionalFormatting>
  <conditionalFormatting sqref="F65:P65">
    <cfRule type="expression" dxfId="48" priority="61">
      <formula>$G$16="Manufactura"</formula>
    </cfRule>
    <cfRule type="expression" dxfId="47" priority="63">
      <formula>$G$16="Comercio"</formula>
    </cfRule>
    <cfRule type="expression" dxfId="46" priority="64">
      <formula>$G$16="Agrícola"</formula>
    </cfRule>
    <cfRule type="expression" dxfId="45" priority="65">
      <formula>$G$16="Explotación, Energía y Construcción"</formula>
    </cfRule>
  </conditionalFormatting>
  <conditionalFormatting sqref="F63:P63">
    <cfRule type="expression" dxfId="44" priority="53">
      <formula>$G$16="Manufactura"</formula>
    </cfRule>
    <cfRule type="expression" dxfId="43" priority="55">
      <formula>$G$16="Comercio"</formula>
    </cfRule>
    <cfRule type="expression" dxfId="42" priority="56">
      <formula>$G$16="Agrícola"</formula>
    </cfRule>
    <cfRule type="expression" dxfId="41" priority="57">
      <formula>$G$16="Explotación, Energía y Construcción"</formula>
    </cfRule>
  </conditionalFormatting>
  <conditionalFormatting sqref="F59:P59">
    <cfRule type="expression" dxfId="40" priority="43">
      <formula>$G$16="Manufactura"</formula>
    </cfRule>
    <cfRule type="expression" dxfId="39" priority="44">
      <formula>$G$16="Servicios"</formula>
    </cfRule>
    <cfRule type="expression" dxfId="38" priority="46">
      <formula>$G$16="Agrícola"</formula>
    </cfRule>
    <cfRule type="expression" dxfId="37" priority="47">
      <formula>$G$16="Explotación, Energía y Construcción"</formula>
    </cfRule>
  </conditionalFormatting>
  <conditionalFormatting sqref="F57:P57">
    <cfRule type="expression" dxfId="36" priority="39">
      <formula>$G$16="Servicios"</formula>
    </cfRule>
    <cfRule type="expression" dxfId="35" priority="41">
      <formula>$G$16="Agrícola"</formula>
    </cfRule>
    <cfRule type="expression" dxfId="34" priority="42">
      <formula>$G$16="Explotación, Energía y Construcción"</formula>
    </cfRule>
  </conditionalFormatting>
  <conditionalFormatting sqref="F55:P55">
    <cfRule type="expression" dxfId="33" priority="34">
      <formula>$G$16="Servicios"</formula>
    </cfRule>
    <cfRule type="expression" dxfId="32" priority="35">
      <formula>$G$16="Comercio"</formula>
    </cfRule>
    <cfRule type="expression" dxfId="31" priority="36">
      <formula>$G$16="Agrícola"</formula>
    </cfRule>
    <cfRule type="expression" dxfId="30" priority="37">
      <formula>$G$16="Explotación, Energía y Construcción"</formula>
    </cfRule>
  </conditionalFormatting>
  <conditionalFormatting sqref="F53:P53">
    <cfRule type="expression" dxfId="29" priority="28">
      <formula>$G$16="Manufactura"</formula>
    </cfRule>
    <cfRule type="expression" dxfId="28" priority="29">
      <formula>$G$16="Servicios"</formula>
    </cfRule>
    <cfRule type="expression" dxfId="27" priority="30">
      <formula>$G$16="Comercio"</formula>
    </cfRule>
    <cfRule type="expression" dxfId="26" priority="31">
      <formula>$G$16="Agrícola"</formula>
    </cfRule>
  </conditionalFormatting>
  <conditionalFormatting sqref="F51:P51">
    <cfRule type="expression" dxfId="25" priority="23">
      <formula>$G$16="Manufactura"</formula>
    </cfRule>
    <cfRule type="expression" dxfId="24" priority="25">
      <formula>$G$16="Comercio"</formula>
    </cfRule>
    <cfRule type="expression" dxfId="23" priority="26">
      <formula>$G$16="Agrícola"</formula>
    </cfRule>
  </conditionalFormatting>
  <conditionalFormatting sqref="F49:P49">
    <cfRule type="expression" dxfId="22" priority="18">
      <formula>$G$16="Manufactura"</formula>
    </cfRule>
    <cfRule type="expression" dxfId="21" priority="19">
      <formula>$G$16="Servicios"</formula>
    </cfRule>
    <cfRule type="expression" dxfId="20" priority="20">
      <formula>$G$16="Comercio"</formula>
    </cfRule>
  </conditionalFormatting>
  <conditionalFormatting sqref="F43:P43">
    <cfRule type="expression" dxfId="19" priority="13">
      <formula>$G$16="Manufactura"</formula>
    </cfRule>
    <cfRule type="expression" dxfId="18" priority="14">
      <formula>$G$16="Servicios"</formula>
    </cfRule>
    <cfRule type="expression" dxfId="17" priority="15">
      <formula>$G$16="Comercio"</formula>
    </cfRule>
    <cfRule type="expression" dxfId="16" priority="17">
      <formula>$G$16="Explotación, Energía y Construcción"</formula>
    </cfRule>
  </conditionalFormatting>
  <conditionalFormatting sqref="F61:P61">
    <cfRule type="expression" dxfId="15" priority="48">
      <formula>$G$16="Manufactura"</formula>
    </cfRule>
    <cfRule type="expression" dxfId="14" priority="49">
      <formula>$G$16="Servicios"</formula>
    </cfRule>
    <cfRule type="expression" dxfId="13" priority="51">
      <formula>$G$16="Agrícola"</formula>
    </cfRule>
    <cfRule type="expression" dxfId="12" priority="52">
      <formula>$G$16="Explotación, Energía y Construcción"</formula>
    </cfRule>
  </conditionalFormatting>
  <conditionalFormatting sqref="E68:P80">
    <cfRule type="expression" dxfId="11" priority="7">
      <formula>$O$14="Pequeño Corporativo"</formula>
    </cfRule>
    <cfRule type="expression" dxfId="10" priority="8">
      <formula>$T$16=TRUE</formula>
    </cfRule>
  </conditionalFormatting>
  <conditionalFormatting sqref="E91 E96 O91">
    <cfRule type="cellIs" dxfId="9" priority="6" operator="equal">
      <formula>"NP"</formula>
    </cfRule>
  </conditionalFormatting>
  <conditionalFormatting sqref="M102 M97:M99 P92:P94 M92:M94 K102 K97:K99 K92:K94 O97:P99 G92:G94 F97:G99">
    <cfRule type="cellIs" dxfId="8" priority="5" operator="equal">
      <formula>"Requerida"</formula>
    </cfRule>
  </conditionalFormatting>
  <conditionalFormatting sqref="E91">
    <cfRule type="cellIs" dxfId="7" priority="4" operator="equal">
      <formula>"NP"</formula>
    </cfRule>
  </conditionalFormatting>
  <conditionalFormatting sqref="E92:I94 K92:K94 M92:M94 O92:P94 E97:I99 K97:K99 M97:M99 O97:O99 K102 M102 K104 M104">
    <cfRule type="expression" dxfId="6" priority="3">
      <formula>$F$88="No"</formula>
    </cfRule>
  </conditionalFormatting>
  <conditionalFormatting sqref="E91:I91 K91 M91 O91:P91 E96:I96 K96 M96 K101 M101">
    <cfRule type="expression" dxfId="5" priority="2">
      <formula>$F$48="No"</formula>
    </cfRule>
  </conditionalFormatting>
  <conditionalFormatting sqref="E91:I91 K91 M91 O91:P91 E96:I96 K96 M96 K101 M101">
    <cfRule type="expression" dxfId="4" priority="1">
      <formula>$F$88="No"</formula>
    </cfRule>
  </conditionalFormatting>
  <dataValidations count="11">
    <dataValidation type="list" allowBlank="1" showInputMessage="1" showErrorMessage="1" sqref="F97:F99" xr:uid="{00000000-0002-0000-0000-000000000000}">
      <formula1>"SI,NO"</formula1>
    </dataValidation>
    <dataValidation type="list" allowBlank="1" showInputMessage="1" showErrorMessage="1" sqref="F92:F94" xr:uid="{00000000-0002-0000-0000-000001000000}">
      <formula1>"Preferente,Subordinada"</formula1>
    </dataValidation>
    <dataValidation type="list" allowBlank="1" showInputMessage="1" showErrorMessage="1" sqref="E92:E94" xr:uid="{00000000-0002-0000-0000-000002000000}">
      <formula1>$AT$91:$AT$97</formula1>
    </dataValidation>
    <dataValidation type="list" allowBlank="1" showInputMessage="1" showErrorMessage="1" sqref="E97:E99" xr:uid="{00000000-0002-0000-0000-000003000000}">
      <formula1>$AV$91:$AV$93</formula1>
    </dataValidation>
    <dataValidation type="list" allowBlank="1" showInputMessage="1" showErrorMessage="1" sqref="O92:O94" xr:uid="{00000000-0002-0000-0000-000004000000}">
      <formula1>$AV$94:$AV$96</formula1>
    </dataValidation>
    <dataValidation type="list" allowBlank="1" showInputMessage="1" showErrorMessage="1" sqref="O8" xr:uid="{00000000-0002-0000-0000-000005000000}">
      <formula1>"Revocable,Irrevocable"</formula1>
    </dataValidation>
    <dataValidation type="list" allowBlank="1" showInputMessage="1" showErrorMessage="1" sqref="M13" xr:uid="{00000000-0002-0000-0000-000006000000}">
      <formula1>$S$7:$S$8</formula1>
    </dataValidation>
    <dataValidation type="list" allowBlank="1" showInputMessage="1" showErrorMessage="1" sqref="O20" xr:uid="{00000000-0002-0000-0000-000007000000}">
      <formula1>"Si,No"</formula1>
    </dataValidation>
    <dataValidation type="list" allowBlank="1" showInputMessage="1" showErrorMessage="1" sqref="G16" xr:uid="{00000000-0002-0000-0000-000008000000}">
      <formula1>$U$16:$U$20</formula1>
    </dataValidation>
    <dataValidation type="list" allowBlank="1" showInputMessage="1" showErrorMessage="1" sqref="C118" xr:uid="{00000000-0002-0000-0000-000009000000}">
      <formula1>"Amortización al vencimiento, Amortizaciones periódicas"</formula1>
    </dataValidation>
    <dataValidation type="list" allowBlank="1" showInputMessage="1" showErrorMessage="1" sqref="F88" xr:uid="{00000000-0002-0000-0000-00000A000000}">
      <formula1>"Si, No"</formula1>
    </dataValidation>
  </dataValidations>
  <printOptions horizontalCentered="1"/>
  <pageMargins left="0.19685039370078741" right="0.19685039370078741" top="0.19685039370078741" bottom="0" header="0.31496062992125984" footer="0.11811023622047245"/>
  <pageSetup scale="5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136" r:id="rId4" name="Button 112">
              <controlPr defaultSize="0" print="0" autoFill="0" autoPict="0" macro="[0]!BorrarDatos">
                <anchor moveWithCells="1" sizeWithCells="1">
                  <from>
                    <xdr:col>1</xdr:col>
                    <xdr:colOff>47625</xdr:colOff>
                    <xdr:row>4</xdr:row>
                    <xdr:rowOff>28575</xdr:rowOff>
                  </from>
                  <to>
                    <xdr:col>4</xdr:col>
                    <xdr:colOff>1181100</xdr:colOff>
                    <xdr:row>5</xdr:row>
                    <xdr:rowOff>104775</xdr:rowOff>
                  </to>
                </anchor>
              </controlPr>
            </control>
          </mc:Choice>
        </mc:AlternateContent>
        <mc:AlternateContent xmlns:mc="http://schemas.openxmlformats.org/markup-compatibility/2006">
          <mc:Choice Requires="x14">
            <control shapeId="1196" r:id="rId5" name="Check Box 172">
              <controlPr defaultSize="0" autoFill="0" autoLine="0" autoPict="0">
                <anchor moveWithCells="1">
                  <from>
                    <xdr:col>12</xdr:col>
                    <xdr:colOff>1285875</xdr:colOff>
                    <xdr:row>14</xdr:row>
                    <xdr:rowOff>95250</xdr:rowOff>
                  </from>
                  <to>
                    <xdr:col>12</xdr:col>
                    <xdr:colOff>1590675</xdr:colOff>
                    <xdr:row>16</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B000000}">
          <x14:formula1>
            <xm:f>'Puntaje Cuali'!$C$3:$C$5</xm:f>
          </x14:formula1>
          <xm:sqref>O69</xm:sqref>
        </x14:dataValidation>
        <x14:dataValidation type="list" allowBlank="1" showInputMessage="1" showErrorMessage="1" xr:uid="{00000000-0002-0000-0000-00000C000000}">
          <x14:formula1>
            <xm:f>'Puntaje Cuali'!$C$6:$C$9</xm:f>
          </x14:formula1>
          <xm:sqref>O71</xm:sqref>
        </x14:dataValidation>
        <x14:dataValidation type="list" allowBlank="1" showInputMessage="1" showErrorMessage="1" xr:uid="{00000000-0002-0000-0000-00000D000000}">
          <x14:formula1>
            <xm:f>'Puntaje Cuali'!$C$10:$C$13</xm:f>
          </x14:formula1>
          <xm:sqref>O73</xm:sqref>
        </x14:dataValidation>
        <x14:dataValidation type="list" allowBlank="1" showInputMessage="1" showErrorMessage="1" xr:uid="{00000000-0002-0000-0000-00000E000000}">
          <x14:formula1>
            <xm:f>'Puntaje Cuali'!$C$14:$C$16</xm:f>
          </x14:formula1>
          <xm:sqref>O75</xm:sqref>
        </x14:dataValidation>
        <x14:dataValidation type="list" allowBlank="1" showInputMessage="1" showErrorMessage="1" xr:uid="{00000000-0002-0000-0000-00000F000000}">
          <x14:formula1>
            <xm:f>'Puntaje Cuali'!$C$17:$C$20</xm:f>
          </x14:formula1>
          <xm:sqref>O77</xm:sqref>
        </x14:dataValidation>
        <x14:dataValidation type="list" allowBlank="1" showInputMessage="1" showErrorMessage="1" xr:uid="{00000000-0002-0000-0000-000010000000}">
          <x14:formula1>
            <xm:f>'Puntaje Cuali'!$C$21:$C$24</xm:f>
          </x14:formula1>
          <xm:sqref>O79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F403"/>
  <sheetViews>
    <sheetView zoomScale="130" zoomScaleNormal="130" workbookViewId="0">
      <pane xSplit="3" ySplit="3" topLeftCell="D175" activePane="bottomRight" state="frozen"/>
      <selection pane="topRight" activeCell="C1" sqref="C1"/>
      <selection pane="bottomLeft" activeCell="A4" sqref="A4"/>
      <selection pane="bottomRight" activeCell="D330" sqref="D330"/>
    </sheetView>
  </sheetViews>
  <sheetFormatPr baseColWidth="10" defaultColWidth="11.42578125" defaultRowHeight="14.25"/>
  <cols>
    <col min="1" max="1" width="43.42578125" style="150" customWidth="1"/>
    <col min="2" max="2" width="81" style="150" customWidth="1"/>
    <col min="3" max="3" width="34.7109375" style="150" customWidth="1"/>
    <col min="4" max="4" width="9.42578125" style="150" bestFit="1" customWidth="1"/>
    <col min="5" max="5" width="14.42578125" style="150" bestFit="1" customWidth="1"/>
    <col min="6" max="6" width="9" style="150" customWidth="1"/>
    <col min="7" max="7" width="8.140625" style="150" bestFit="1" customWidth="1"/>
    <col min="8" max="8" width="13.85546875" style="150" bestFit="1" customWidth="1"/>
    <col min="9" max="9" width="7.28515625" style="150" bestFit="1" customWidth="1"/>
    <col min="10" max="10" width="8.140625" style="150" bestFit="1" customWidth="1"/>
    <col min="11" max="11" width="13.85546875" style="150" bestFit="1" customWidth="1"/>
    <col min="12" max="12" width="7.28515625" style="150" bestFit="1" customWidth="1"/>
    <col min="13" max="13" width="8.140625" style="150" bestFit="1" customWidth="1"/>
    <col min="14" max="14" width="13.85546875" style="150" bestFit="1" customWidth="1"/>
    <col min="15" max="15" width="7.28515625" style="150" bestFit="1" customWidth="1"/>
    <col min="16" max="16" width="8.140625" style="150" bestFit="1" customWidth="1"/>
    <col min="17" max="17" width="13.85546875" style="150" bestFit="1" customWidth="1"/>
    <col min="18" max="18" width="7.28515625" style="150" bestFit="1" customWidth="1"/>
    <col min="19" max="16384" width="11.42578125" style="150"/>
  </cols>
  <sheetData>
    <row r="1" spans="1:6" ht="15" thickBot="1"/>
    <row r="2" spans="1:6" ht="62.25" customHeight="1" thickBot="1">
      <c r="A2" s="150" t="s">
        <v>219</v>
      </c>
      <c r="B2" s="150" t="s">
        <v>220</v>
      </c>
      <c r="C2" s="287" t="s">
        <v>4</v>
      </c>
      <c r="D2" s="290" t="s">
        <v>221</v>
      </c>
      <c r="E2" s="291" t="s">
        <v>222</v>
      </c>
      <c r="F2" s="148" t="s">
        <v>6</v>
      </c>
    </row>
    <row r="3" spans="1:6" ht="37.5" thickTop="1" thickBot="1">
      <c r="A3" s="150" t="s">
        <v>124</v>
      </c>
      <c r="B3" s="284" t="s">
        <v>140</v>
      </c>
      <c r="C3" s="286" t="s">
        <v>123</v>
      </c>
      <c r="D3" s="138">
        <v>0</v>
      </c>
      <c r="E3" s="139">
        <v>0.6</v>
      </c>
      <c r="F3" s="132">
        <v>15</v>
      </c>
    </row>
    <row r="4" spans="1:6" ht="15" customHeight="1" thickTop="1" thickBot="1">
      <c r="A4" s="150" t="s">
        <v>124</v>
      </c>
      <c r="B4" s="284" t="s">
        <v>140</v>
      </c>
      <c r="C4" s="286" t="s">
        <v>123</v>
      </c>
      <c r="D4" s="140">
        <v>0.61</v>
      </c>
      <c r="E4" s="141">
        <v>0.74</v>
      </c>
      <c r="F4" s="135">
        <v>36</v>
      </c>
    </row>
    <row r="5" spans="1:6" ht="37.5" thickTop="1" thickBot="1">
      <c r="A5" s="150" t="s">
        <v>124</v>
      </c>
      <c r="B5" s="284" t="s">
        <v>140</v>
      </c>
      <c r="C5" s="286" t="s">
        <v>123</v>
      </c>
      <c r="D5" s="140">
        <v>0.75</v>
      </c>
      <c r="E5" s="141">
        <v>0.94</v>
      </c>
      <c r="F5" s="135">
        <v>83</v>
      </c>
    </row>
    <row r="6" spans="1:6" ht="37.5" thickTop="1" thickBot="1">
      <c r="A6" s="150" t="s">
        <v>124</v>
      </c>
      <c r="B6" s="284" t="s">
        <v>140</v>
      </c>
      <c r="C6" s="286" t="s">
        <v>123</v>
      </c>
      <c r="D6" s="140">
        <v>0.95</v>
      </c>
      <c r="E6" s="141">
        <v>1</v>
      </c>
      <c r="F6" s="135">
        <v>103</v>
      </c>
    </row>
    <row r="7" spans="1:6" ht="37.5" thickTop="1" thickBot="1">
      <c r="A7" s="150" t="s">
        <v>124</v>
      </c>
      <c r="B7" s="284" t="s">
        <v>140</v>
      </c>
      <c r="C7" s="286" t="s">
        <v>123</v>
      </c>
      <c r="D7" s="140" t="s">
        <v>132</v>
      </c>
      <c r="E7" s="141" t="s">
        <v>38</v>
      </c>
      <c r="F7" s="135">
        <v>70</v>
      </c>
    </row>
    <row r="8" spans="1:6" ht="37.5" hidden="1" thickTop="1" thickBot="1">
      <c r="A8" s="150" t="s">
        <v>124</v>
      </c>
      <c r="B8" s="284" t="s">
        <v>140</v>
      </c>
      <c r="C8" s="286" t="s">
        <v>123</v>
      </c>
      <c r="D8" s="200"/>
      <c r="E8" s="201"/>
      <c r="F8" s="202"/>
    </row>
    <row r="9" spans="1:6" ht="37.5" hidden="1" thickTop="1" thickBot="1">
      <c r="A9" s="150" t="s">
        <v>124</v>
      </c>
      <c r="B9" s="284" t="s">
        <v>140</v>
      </c>
      <c r="C9" s="286" t="s">
        <v>123</v>
      </c>
      <c r="D9" s="152"/>
      <c r="E9" s="153"/>
      <c r="F9" s="154"/>
    </row>
    <row r="10" spans="1:6" ht="37.5" thickTop="1" thickBot="1">
      <c r="A10" s="150" t="s">
        <v>124</v>
      </c>
      <c r="B10" s="284" t="s">
        <v>140</v>
      </c>
      <c r="C10" s="288" t="s">
        <v>125</v>
      </c>
      <c r="D10" s="203">
        <v>0</v>
      </c>
      <c r="E10" s="139">
        <v>0.78</v>
      </c>
      <c r="F10" s="204">
        <v>68</v>
      </c>
    </row>
    <row r="11" spans="1:6" ht="37.5" thickTop="1" thickBot="1">
      <c r="A11" s="150" t="s">
        <v>124</v>
      </c>
      <c r="B11" s="284" t="s">
        <v>140</v>
      </c>
      <c r="C11" s="288" t="s">
        <v>125</v>
      </c>
      <c r="D11" s="140">
        <v>0.79</v>
      </c>
      <c r="E11" s="141">
        <v>0.96</v>
      </c>
      <c r="F11" s="205">
        <v>87</v>
      </c>
    </row>
    <row r="12" spans="1:6" ht="37.5" thickTop="1" thickBot="1">
      <c r="A12" s="150" t="s">
        <v>124</v>
      </c>
      <c r="B12" s="284" t="s">
        <v>140</v>
      </c>
      <c r="C12" s="288" t="s">
        <v>125</v>
      </c>
      <c r="D12" s="140">
        <v>0.97</v>
      </c>
      <c r="E12" s="141">
        <v>1</v>
      </c>
      <c r="F12" s="205">
        <v>95</v>
      </c>
    </row>
    <row r="13" spans="1:6" ht="37.5" thickTop="1" thickBot="1">
      <c r="A13" s="150" t="s">
        <v>124</v>
      </c>
      <c r="B13" s="284" t="s">
        <v>140</v>
      </c>
      <c r="C13" s="288" t="s">
        <v>125</v>
      </c>
      <c r="D13" s="140" t="s">
        <v>132</v>
      </c>
      <c r="E13" s="141" t="s">
        <v>38</v>
      </c>
      <c r="F13" s="205">
        <v>69</v>
      </c>
    </row>
    <row r="14" spans="1:6" ht="37.5" hidden="1" thickTop="1" thickBot="1">
      <c r="A14" s="150" t="s">
        <v>124</v>
      </c>
      <c r="B14" s="284" t="s">
        <v>140</v>
      </c>
      <c r="C14" s="288" t="s">
        <v>125</v>
      </c>
      <c r="D14" s="152"/>
      <c r="E14" s="153"/>
      <c r="F14" s="154"/>
    </row>
    <row r="15" spans="1:6" ht="37.5" thickTop="1" thickBot="1">
      <c r="A15" s="150" t="s">
        <v>124</v>
      </c>
      <c r="B15" s="284" t="s">
        <v>142</v>
      </c>
      <c r="C15" s="288" t="s">
        <v>143</v>
      </c>
      <c r="D15" s="206">
        <v>0</v>
      </c>
      <c r="E15" s="131"/>
      <c r="F15" s="132">
        <v>86</v>
      </c>
    </row>
    <row r="16" spans="1:6" ht="15" customHeight="1" thickTop="1" thickBot="1">
      <c r="A16" s="150" t="s">
        <v>124</v>
      </c>
      <c r="B16" s="284" t="s">
        <v>142</v>
      </c>
      <c r="C16" s="288" t="s">
        <v>143</v>
      </c>
      <c r="D16" s="133">
        <v>1</v>
      </c>
      <c r="E16" s="134"/>
      <c r="F16" s="135">
        <v>39</v>
      </c>
    </row>
    <row r="17" spans="1:6" ht="37.5" thickTop="1" thickBot="1">
      <c r="A17" s="150" t="s">
        <v>124</v>
      </c>
      <c r="B17" s="284" t="s">
        <v>142</v>
      </c>
      <c r="C17" s="288" t="s">
        <v>143</v>
      </c>
      <c r="D17" s="155">
        <v>2</v>
      </c>
      <c r="E17" s="157"/>
      <c r="F17" s="135">
        <v>-50</v>
      </c>
    </row>
    <row r="18" spans="1:6" ht="37.5" thickTop="1" thickBot="1">
      <c r="A18" s="150" t="s">
        <v>124</v>
      </c>
      <c r="B18" s="284" t="s">
        <v>142</v>
      </c>
      <c r="C18" s="288" t="s">
        <v>143</v>
      </c>
      <c r="D18" s="155">
        <v>3</v>
      </c>
      <c r="E18" s="157" t="s">
        <v>129</v>
      </c>
      <c r="F18" s="135">
        <v>-100</v>
      </c>
    </row>
    <row r="19" spans="1:6" ht="37.5" thickTop="1" thickBot="1">
      <c r="A19" s="150" t="s">
        <v>124</v>
      </c>
      <c r="B19" s="284" t="s">
        <v>142</v>
      </c>
      <c r="C19" s="288" t="s">
        <v>143</v>
      </c>
      <c r="D19" s="136" t="s">
        <v>132</v>
      </c>
      <c r="E19" s="137" t="s">
        <v>38</v>
      </c>
      <c r="F19" s="156">
        <v>63</v>
      </c>
    </row>
    <row r="20" spans="1:6" ht="37.5" thickTop="1" thickBot="1">
      <c r="A20" s="150" t="s">
        <v>124</v>
      </c>
      <c r="B20" s="284" t="s">
        <v>142</v>
      </c>
      <c r="C20" s="288" t="s">
        <v>144</v>
      </c>
      <c r="D20" s="138">
        <v>0</v>
      </c>
      <c r="E20" s="139">
        <v>0.47</v>
      </c>
      <c r="F20" s="132">
        <v>51</v>
      </c>
    </row>
    <row r="21" spans="1:6" ht="15" customHeight="1" thickTop="1" thickBot="1">
      <c r="A21" s="150" t="s">
        <v>124</v>
      </c>
      <c r="B21" s="284" t="s">
        <v>142</v>
      </c>
      <c r="C21" s="288" t="s">
        <v>144</v>
      </c>
      <c r="D21" s="140">
        <v>0.47</v>
      </c>
      <c r="E21" s="141">
        <v>0.68</v>
      </c>
      <c r="F21" s="135">
        <v>58</v>
      </c>
    </row>
    <row r="22" spans="1:6" ht="15" customHeight="1" thickTop="1" thickBot="1">
      <c r="A22" s="150" t="s">
        <v>124</v>
      </c>
      <c r="B22" s="284" t="s">
        <v>142</v>
      </c>
      <c r="C22" s="288" t="s">
        <v>144</v>
      </c>
      <c r="D22" s="140">
        <v>0.68</v>
      </c>
      <c r="E22" s="141">
        <v>0.98</v>
      </c>
      <c r="F22" s="135">
        <v>66</v>
      </c>
    </row>
    <row r="23" spans="1:6" ht="15" customHeight="1" thickTop="1" thickBot="1">
      <c r="A23" s="150" t="s">
        <v>124</v>
      </c>
      <c r="B23" s="284" t="s">
        <v>142</v>
      </c>
      <c r="C23" s="288" t="s">
        <v>144</v>
      </c>
      <c r="D23" s="140">
        <v>0.98</v>
      </c>
      <c r="E23" s="141" t="s">
        <v>126</v>
      </c>
      <c r="F23" s="135">
        <v>79</v>
      </c>
    </row>
    <row r="24" spans="1:6" ht="15.75" customHeight="1" thickTop="1" thickBot="1">
      <c r="A24" s="150" t="s">
        <v>124</v>
      </c>
      <c r="B24" s="284" t="s">
        <v>142</v>
      </c>
      <c r="C24" s="288" t="s">
        <v>144</v>
      </c>
      <c r="D24" s="140" t="s">
        <v>132</v>
      </c>
      <c r="E24" s="141" t="s">
        <v>38</v>
      </c>
      <c r="F24" s="135">
        <v>73</v>
      </c>
    </row>
    <row r="25" spans="1:6" ht="15.75" hidden="1" customHeight="1" thickTop="1" thickBot="1">
      <c r="A25" s="150" t="s">
        <v>124</v>
      </c>
      <c r="B25" s="284" t="s">
        <v>142</v>
      </c>
      <c r="C25" s="288" t="s">
        <v>144</v>
      </c>
      <c r="D25" s="161"/>
      <c r="E25" s="162"/>
      <c r="F25" s="159"/>
    </row>
    <row r="26" spans="1:6" ht="15.75" customHeight="1" thickTop="1" thickBot="1">
      <c r="A26" s="150" t="s">
        <v>124</v>
      </c>
      <c r="B26" s="284" t="s">
        <v>177</v>
      </c>
      <c r="C26" s="288" t="s">
        <v>146</v>
      </c>
      <c r="D26" s="292" t="s">
        <v>148</v>
      </c>
      <c r="E26" s="139" t="s">
        <v>147</v>
      </c>
      <c r="F26" s="132">
        <v>52</v>
      </c>
    </row>
    <row r="27" spans="1:6" ht="24.75" customHeight="1" thickTop="1" thickBot="1">
      <c r="A27" s="150" t="s">
        <v>124</v>
      </c>
      <c r="B27" s="284" t="s">
        <v>177</v>
      </c>
      <c r="C27" s="288" t="s">
        <v>146</v>
      </c>
      <c r="D27" s="140">
        <v>-1</v>
      </c>
      <c r="E27" s="210">
        <v>-7.0000000000000001E-3</v>
      </c>
      <c r="F27" s="135">
        <v>74</v>
      </c>
    </row>
    <row r="28" spans="1:6" ht="15.75" thickTop="1" thickBot="1">
      <c r="A28" s="150" t="s">
        <v>124</v>
      </c>
      <c r="B28" s="284" t="s">
        <v>177</v>
      </c>
      <c r="C28" s="288" t="s">
        <v>146</v>
      </c>
      <c r="D28" s="209">
        <v>-7.0000000000000001E-3</v>
      </c>
      <c r="E28" s="210">
        <v>3.2000000000000001E-2</v>
      </c>
      <c r="F28" s="135">
        <v>86</v>
      </c>
    </row>
    <row r="29" spans="1:6" ht="15.75" thickTop="1" thickBot="1">
      <c r="A29" s="150" t="s">
        <v>124</v>
      </c>
      <c r="B29" s="284" t="s">
        <v>177</v>
      </c>
      <c r="C29" s="288" t="s">
        <v>146</v>
      </c>
      <c r="D29" s="209">
        <v>3.2000000000000001E-2</v>
      </c>
      <c r="E29" s="210">
        <v>0.13400000000000001</v>
      </c>
      <c r="F29" s="135">
        <v>97</v>
      </c>
    </row>
    <row r="30" spans="1:6" ht="15.75" thickTop="1" thickBot="1">
      <c r="A30" s="150" t="s">
        <v>124</v>
      </c>
      <c r="B30" s="284" t="s">
        <v>177</v>
      </c>
      <c r="C30" s="288" t="s">
        <v>146</v>
      </c>
      <c r="D30" s="209">
        <v>0.13400000000000001</v>
      </c>
      <c r="E30" s="210" t="s">
        <v>149</v>
      </c>
      <c r="F30" s="135">
        <v>112</v>
      </c>
    </row>
    <row r="31" spans="1:6" ht="15.75" thickTop="1" thickBot="1">
      <c r="A31" s="150" t="s">
        <v>124</v>
      </c>
      <c r="B31" s="284" t="s">
        <v>177</v>
      </c>
      <c r="C31" s="288" t="s">
        <v>146</v>
      </c>
      <c r="D31" s="136" t="s">
        <v>132</v>
      </c>
      <c r="E31" s="137" t="s">
        <v>38</v>
      </c>
      <c r="F31" s="293">
        <v>65</v>
      </c>
    </row>
    <row r="32" spans="1:6" ht="15.75" thickTop="1" thickBot="1">
      <c r="A32" s="150" t="s">
        <v>124</v>
      </c>
      <c r="B32" s="284" t="s">
        <v>177</v>
      </c>
      <c r="C32" s="289" t="s">
        <v>150</v>
      </c>
      <c r="D32" s="212">
        <v>0</v>
      </c>
      <c r="E32" s="213">
        <v>38</v>
      </c>
      <c r="F32" s="132">
        <v>103</v>
      </c>
    </row>
    <row r="33" spans="1:6" ht="15.75" thickTop="1" thickBot="1">
      <c r="A33" s="150" t="s">
        <v>124</v>
      </c>
      <c r="B33" s="284" t="s">
        <v>177</v>
      </c>
      <c r="C33" s="289" t="s">
        <v>150</v>
      </c>
      <c r="D33" s="155">
        <v>38</v>
      </c>
      <c r="E33" s="157">
        <v>91</v>
      </c>
      <c r="F33" s="135">
        <v>91</v>
      </c>
    </row>
    <row r="34" spans="1:6" ht="15.75" thickTop="1" thickBot="1">
      <c r="A34" s="150" t="s">
        <v>124</v>
      </c>
      <c r="B34" s="284" t="s">
        <v>177</v>
      </c>
      <c r="C34" s="289" t="s">
        <v>150</v>
      </c>
      <c r="D34" s="155">
        <v>91</v>
      </c>
      <c r="E34" s="157" t="s">
        <v>151</v>
      </c>
      <c r="F34" s="135">
        <v>77</v>
      </c>
    </row>
    <row r="35" spans="1:6" ht="15.75" thickTop="1" thickBot="1">
      <c r="A35" s="150" t="s">
        <v>124</v>
      </c>
      <c r="B35" s="284" t="s">
        <v>177</v>
      </c>
      <c r="C35" s="289" t="s">
        <v>150</v>
      </c>
      <c r="D35" s="136" t="s">
        <v>132</v>
      </c>
      <c r="E35" s="137" t="s">
        <v>38</v>
      </c>
      <c r="F35" s="207">
        <v>72</v>
      </c>
    </row>
    <row r="36" spans="1:6" ht="15.75" thickTop="1" thickBot="1">
      <c r="A36" s="150" t="s">
        <v>124</v>
      </c>
      <c r="B36" s="284" t="s">
        <v>177</v>
      </c>
      <c r="C36" s="289" t="s">
        <v>152</v>
      </c>
      <c r="D36" s="214">
        <v>-1</v>
      </c>
      <c r="E36" s="215">
        <v>1E-3</v>
      </c>
      <c r="F36" s="132">
        <v>78</v>
      </c>
    </row>
    <row r="37" spans="1:6" ht="15.75" thickTop="1" thickBot="1">
      <c r="A37" s="150" t="s">
        <v>124</v>
      </c>
      <c r="B37" s="284" t="s">
        <v>177</v>
      </c>
      <c r="C37" s="289" t="s">
        <v>152</v>
      </c>
      <c r="D37" s="209">
        <v>1E-3</v>
      </c>
      <c r="E37" s="210">
        <v>2.1999999999999999E-2</v>
      </c>
      <c r="F37" s="135">
        <v>88</v>
      </c>
    </row>
    <row r="38" spans="1:6" ht="15.75" thickTop="1" thickBot="1">
      <c r="A38" s="150" t="s">
        <v>124</v>
      </c>
      <c r="B38" s="284" t="s">
        <v>177</v>
      </c>
      <c r="C38" s="289" t="s">
        <v>152</v>
      </c>
      <c r="D38" s="209">
        <v>2.1999999999999999E-2</v>
      </c>
      <c r="E38" s="210" t="s">
        <v>153</v>
      </c>
      <c r="F38" s="135">
        <v>109</v>
      </c>
    </row>
    <row r="39" spans="1:6" ht="15.75" thickTop="1" thickBot="1">
      <c r="A39" s="150" t="s">
        <v>124</v>
      </c>
      <c r="B39" s="284" t="s">
        <v>177</v>
      </c>
      <c r="C39" s="289" t="s">
        <v>152</v>
      </c>
      <c r="D39" s="136" t="s">
        <v>132</v>
      </c>
      <c r="E39" s="137" t="s">
        <v>38</v>
      </c>
      <c r="F39" s="207">
        <v>73</v>
      </c>
    </row>
    <row r="40" spans="1:6" ht="15.75" thickTop="1" thickBot="1">
      <c r="A40" s="150" t="s">
        <v>124</v>
      </c>
      <c r="B40" s="284" t="s">
        <v>177</v>
      </c>
      <c r="C40" s="285" t="s">
        <v>154</v>
      </c>
      <c r="D40" s="240">
        <v>-100</v>
      </c>
      <c r="E40" s="213">
        <v>0</v>
      </c>
      <c r="F40" s="132">
        <v>77</v>
      </c>
    </row>
    <row r="41" spans="1:6" ht="15.75" thickTop="1" thickBot="1">
      <c r="A41" s="150" t="s">
        <v>124</v>
      </c>
      <c r="B41" s="284" t="s">
        <v>177</v>
      </c>
      <c r="C41" s="285" t="s">
        <v>154</v>
      </c>
      <c r="D41" s="241">
        <v>0</v>
      </c>
      <c r="E41" s="157">
        <v>2.4</v>
      </c>
      <c r="F41" s="135">
        <v>87</v>
      </c>
    </row>
    <row r="42" spans="1:6" ht="15.75" thickTop="1" thickBot="1">
      <c r="A42" s="150" t="s">
        <v>124</v>
      </c>
      <c r="B42" s="284" t="s">
        <v>177</v>
      </c>
      <c r="C42" s="285" t="s">
        <v>154</v>
      </c>
      <c r="D42" s="241">
        <v>2.4</v>
      </c>
      <c r="E42" s="157">
        <v>3.5</v>
      </c>
      <c r="F42" s="135">
        <v>105</v>
      </c>
    </row>
    <row r="43" spans="1:6" ht="16.5" customHeight="1" thickTop="1" thickBot="1">
      <c r="A43" s="150" t="s">
        <v>124</v>
      </c>
      <c r="B43" s="284" t="s">
        <v>177</v>
      </c>
      <c r="C43" s="285" t="s">
        <v>154</v>
      </c>
      <c r="D43" s="241">
        <v>3.5</v>
      </c>
      <c r="E43" s="157" t="s">
        <v>155</v>
      </c>
      <c r="F43" s="135">
        <v>123</v>
      </c>
    </row>
    <row r="44" spans="1:6" ht="15.75" thickTop="1" thickBot="1">
      <c r="A44" s="150" t="s">
        <v>124</v>
      </c>
      <c r="B44" s="284" t="s">
        <v>177</v>
      </c>
      <c r="C44" s="285" t="s">
        <v>154</v>
      </c>
      <c r="D44" s="242" t="s">
        <v>132</v>
      </c>
      <c r="E44" s="137" t="s">
        <v>38</v>
      </c>
      <c r="F44" s="207">
        <v>68</v>
      </c>
    </row>
    <row r="45" spans="1:6" ht="15.75" hidden="1" thickTop="1" thickBot="1">
      <c r="A45" s="150" t="s">
        <v>124</v>
      </c>
      <c r="B45" s="284" t="s">
        <v>177</v>
      </c>
      <c r="C45" s="285" t="s">
        <v>156</v>
      </c>
      <c r="D45" s="243"/>
      <c r="E45" s="234"/>
      <c r="F45" s="223"/>
    </row>
    <row r="46" spans="1:6" ht="15.75" hidden="1" customHeight="1" thickTop="1" thickBot="1">
      <c r="A46" s="150" t="s">
        <v>124</v>
      </c>
      <c r="B46" s="284" t="s">
        <v>177</v>
      </c>
      <c r="C46" s="285" t="s">
        <v>156</v>
      </c>
      <c r="D46" s="244"/>
      <c r="E46" s="225"/>
      <c r="F46" s="226"/>
    </row>
    <row r="47" spans="1:6" ht="15.75" hidden="1" thickTop="1" thickBot="1">
      <c r="A47" s="150" t="s">
        <v>124</v>
      </c>
      <c r="B47" s="284" t="s">
        <v>177</v>
      </c>
      <c r="C47" s="285" t="s">
        <v>156</v>
      </c>
      <c r="D47" s="244"/>
      <c r="E47" s="225"/>
      <c r="F47" s="226"/>
    </row>
    <row r="48" spans="1:6" ht="15.75" hidden="1" thickTop="1" thickBot="1">
      <c r="A48" s="150" t="s">
        <v>124</v>
      </c>
      <c r="B48" s="284" t="s">
        <v>177</v>
      </c>
      <c r="C48" s="285" t="s">
        <v>156</v>
      </c>
      <c r="D48" s="244"/>
      <c r="E48" s="225"/>
      <c r="F48" s="226"/>
    </row>
    <row r="49" spans="1:6" ht="15.75" hidden="1" customHeight="1" thickTop="1" thickBot="1">
      <c r="A49" s="150" t="s">
        <v>124</v>
      </c>
      <c r="B49" s="284" t="s">
        <v>177</v>
      </c>
      <c r="C49" s="285" t="s">
        <v>156</v>
      </c>
      <c r="D49" s="245"/>
      <c r="E49" s="158"/>
      <c r="F49" s="228"/>
    </row>
    <row r="50" spans="1:6" ht="15.75" hidden="1" customHeight="1" thickTop="1" thickBot="1">
      <c r="A50" s="150" t="s">
        <v>124</v>
      </c>
      <c r="B50" s="284" t="s">
        <v>177</v>
      </c>
      <c r="C50" s="285" t="s">
        <v>158</v>
      </c>
      <c r="D50" s="248"/>
      <c r="E50" s="235"/>
      <c r="F50" s="223"/>
    </row>
    <row r="51" spans="1:6" ht="15.75" hidden="1" thickTop="1" thickBot="1">
      <c r="A51" s="150" t="s">
        <v>124</v>
      </c>
      <c r="B51" s="284" t="s">
        <v>177</v>
      </c>
      <c r="C51" s="285" t="s">
        <v>158</v>
      </c>
      <c r="D51" s="247"/>
      <c r="E51" s="236"/>
      <c r="F51" s="226"/>
    </row>
    <row r="52" spans="1:6" ht="15.75" hidden="1" customHeight="1" thickTop="1" thickBot="1">
      <c r="A52" s="150" t="s">
        <v>124</v>
      </c>
      <c r="B52" s="284" t="s">
        <v>177</v>
      </c>
      <c r="C52" s="285" t="s">
        <v>158</v>
      </c>
      <c r="D52" s="246"/>
      <c r="E52" s="232"/>
      <c r="F52" s="226"/>
    </row>
    <row r="53" spans="1:6" ht="15.75" hidden="1" thickTop="1" thickBot="1">
      <c r="A53" s="150" t="s">
        <v>124</v>
      </c>
      <c r="B53" s="284" t="s">
        <v>177</v>
      </c>
      <c r="C53" s="285" t="s">
        <v>158</v>
      </c>
      <c r="D53" s="245"/>
      <c r="E53" s="158"/>
      <c r="F53" s="228"/>
    </row>
    <row r="54" spans="1:6" ht="15.75" hidden="1" thickTop="1" thickBot="1">
      <c r="A54" s="150" t="s">
        <v>124</v>
      </c>
      <c r="B54" s="284" t="s">
        <v>177</v>
      </c>
      <c r="C54" s="285" t="s">
        <v>161</v>
      </c>
      <c r="D54" s="248"/>
      <c r="E54" s="235"/>
      <c r="F54" s="223"/>
    </row>
    <row r="55" spans="1:6" ht="15.75" hidden="1" thickTop="1" thickBot="1">
      <c r="A55" s="150" t="s">
        <v>124</v>
      </c>
      <c r="B55" s="284" t="s">
        <v>177</v>
      </c>
      <c r="C55" s="285" t="s">
        <v>161</v>
      </c>
      <c r="D55" s="246"/>
      <c r="E55" s="236"/>
      <c r="F55" s="226"/>
    </row>
    <row r="56" spans="1:6" ht="15.75" hidden="1" thickTop="1" thickBot="1">
      <c r="A56" s="150" t="s">
        <v>124</v>
      </c>
      <c r="B56" s="284" t="s">
        <v>177</v>
      </c>
      <c r="C56" s="285" t="s">
        <v>161</v>
      </c>
      <c r="D56" s="246"/>
      <c r="E56" s="236"/>
      <c r="F56" s="226"/>
    </row>
    <row r="57" spans="1:6" ht="15.75" hidden="1" customHeight="1" thickTop="1" thickBot="1">
      <c r="A57" s="150" t="s">
        <v>124</v>
      </c>
      <c r="B57" s="284" t="s">
        <v>177</v>
      </c>
      <c r="C57" s="285" t="s">
        <v>161</v>
      </c>
      <c r="D57" s="246"/>
      <c r="E57" s="232"/>
      <c r="F57" s="226"/>
    </row>
    <row r="58" spans="1:6" ht="15.75" hidden="1" thickTop="1" thickBot="1">
      <c r="A58" s="150" t="s">
        <v>124</v>
      </c>
      <c r="B58" s="284" t="s">
        <v>177</v>
      </c>
      <c r="C58" s="285" t="s">
        <v>161</v>
      </c>
      <c r="D58" s="245"/>
      <c r="E58" s="158"/>
      <c r="F58" s="228"/>
    </row>
    <row r="59" spans="1:6" ht="15.75" hidden="1" thickTop="1" thickBot="1">
      <c r="A59" s="150" t="s">
        <v>124</v>
      </c>
      <c r="B59" s="284" t="s">
        <v>177</v>
      </c>
      <c r="C59" s="285" t="s">
        <v>163</v>
      </c>
      <c r="D59" s="243"/>
      <c r="E59" s="234"/>
      <c r="F59" s="223"/>
    </row>
    <row r="60" spans="1:6" ht="15.75" hidden="1" thickTop="1" thickBot="1">
      <c r="A60" s="150" t="s">
        <v>124</v>
      </c>
      <c r="B60" s="284" t="s">
        <v>177</v>
      </c>
      <c r="C60" s="285" t="s">
        <v>163</v>
      </c>
      <c r="D60" s="244"/>
      <c r="E60" s="225"/>
      <c r="F60" s="226"/>
    </row>
    <row r="61" spans="1:6" ht="15.75" hidden="1" thickTop="1" thickBot="1">
      <c r="A61" s="150" t="s">
        <v>124</v>
      </c>
      <c r="B61" s="284" t="s">
        <v>177</v>
      </c>
      <c r="C61" s="285" t="s">
        <v>163</v>
      </c>
      <c r="D61" s="244"/>
      <c r="E61" s="225"/>
      <c r="F61" s="226"/>
    </row>
    <row r="62" spans="1:6" ht="16.5" hidden="1" customHeight="1" thickTop="1" thickBot="1">
      <c r="A62" s="150" t="s">
        <v>124</v>
      </c>
      <c r="B62" s="284" t="s">
        <v>177</v>
      </c>
      <c r="C62" s="285" t="s">
        <v>163</v>
      </c>
      <c r="D62" s="244"/>
      <c r="E62" s="225"/>
      <c r="F62" s="226"/>
    </row>
    <row r="63" spans="1:6" ht="15.75" hidden="1" thickTop="1" thickBot="1">
      <c r="A63" s="150" t="s">
        <v>124</v>
      </c>
      <c r="B63" s="284" t="s">
        <v>177</v>
      </c>
      <c r="C63" s="285" t="s">
        <v>163</v>
      </c>
      <c r="D63" s="245"/>
      <c r="E63" s="158"/>
      <c r="F63" s="228"/>
    </row>
    <row r="64" spans="1:6" ht="16.5" hidden="1" customHeight="1" thickTop="1" thickBot="1">
      <c r="A64" s="150" t="s">
        <v>124</v>
      </c>
      <c r="B64" s="284" t="s">
        <v>177</v>
      </c>
      <c r="C64" s="285" t="s">
        <v>167</v>
      </c>
      <c r="D64" s="248"/>
      <c r="E64" s="235"/>
      <c r="F64" s="223"/>
    </row>
    <row r="65" spans="1:6" ht="15.75" hidden="1" thickTop="1" thickBot="1">
      <c r="A65" s="150" t="s">
        <v>124</v>
      </c>
      <c r="B65" s="284" t="s">
        <v>177</v>
      </c>
      <c r="C65" s="285" t="s">
        <v>167</v>
      </c>
      <c r="D65" s="246"/>
      <c r="E65" s="236"/>
      <c r="F65" s="226"/>
    </row>
    <row r="66" spans="1:6" ht="15.75" hidden="1" thickTop="1" thickBot="1">
      <c r="A66" s="150" t="s">
        <v>124</v>
      </c>
      <c r="B66" s="284" t="s">
        <v>177</v>
      </c>
      <c r="C66" s="285" t="s">
        <v>167</v>
      </c>
      <c r="D66" s="246"/>
      <c r="E66" s="236"/>
      <c r="F66" s="226"/>
    </row>
    <row r="67" spans="1:6" ht="15.75" hidden="1" thickTop="1" thickBot="1">
      <c r="A67" s="150" t="s">
        <v>124</v>
      </c>
      <c r="B67" s="284" t="s">
        <v>177</v>
      </c>
      <c r="C67" s="285" t="s">
        <v>167</v>
      </c>
      <c r="D67" s="246"/>
      <c r="E67" s="232"/>
      <c r="F67" s="226"/>
    </row>
    <row r="68" spans="1:6" ht="15.75" hidden="1" thickTop="1" thickBot="1">
      <c r="A68" s="150" t="s">
        <v>124</v>
      </c>
      <c r="B68" s="284" t="s">
        <v>177</v>
      </c>
      <c r="C68" s="285" t="s">
        <v>167</v>
      </c>
      <c r="D68" s="245"/>
      <c r="E68" s="158"/>
      <c r="F68" s="228"/>
    </row>
    <row r="69" spans="1:6" ht="15.75" hidden="1" thickTop="1" thickBot="1">
      <c r="A69" s="150" t="s">
        <v>124</v>
      </c>
      <c r="B69" s="284" t="s">
        <v>177</v>
      </c>
      <c r="C69" s="285" t="s">
        <v>203</v>
      </c>
      <c r="D69" s="248"/>
      <c r="E69" s="230"/>
      <c r="F69" s="223"/>
    </row>
    <row r="70" spans="1:6" ht="15.75" hidden="1" thickTop="1" thickBot="1">
      <c r="A70" s="150" t="s">
        <v>124</v>
      </c>
      <c r="B70" s="284" t="s">
        <v>177</v>
      </c>
      <c r="C70" s="285" t="s">
        <v>203</v>
      </c>
      <c r="D70" s="249"/>
      <c r="E70" s="239"/>
      <c r="F70" s="226"/>
    </row>
    <row r="71" spans="1:6" ht="15.75" hidden="1" thickTop="1" thickBot="1">
      <c r="A71" s="150" t="s">
        <v>124</v>
      </c>
      <c r="B71" s="284" t="s">
        <v>177</v>
      </c>
      <c r="C71" s="285" t="s">
        <v>203</v>
      </c>
      <c r="D71" s="249"/>
      <c r="E71" s="239"/>
      <c r="F71" s="226"/>
    </row>
    <row r="72" spans="1:6" ht="15.75" hidden="1" thickTop="1" thickBot="1">
      <c r="A72" s="150" t="s">
        <v>124</v>
      </c>
      <c r="B72" s="284" t="s">
        <v>177</v>
      </c>
      <c r="C72" s="285" t="s">
        <v>203</v>
      </c>
      <c r="D72" s="249"/>
      <c r="E72" s="232"/>
      <c r="F72" s="226"/>
    </row>
    <row r="73" spans="1:6" ht="15.75" hidden="1" thickTop="1" thickBot="1">
      <c r="A73" s="150" t="s">
        <v>124</v>
      </c>
      <c r="B73" s="284" t="s">
        <v>177</v>
      </c>
      <c r="C73" s="285" t="s">
        <v>203</v>
      </c>
      <c r="D73" s="245"/>
      <c r="E73" s="158"/>
      <c r="F73" s="226"/>
    </row>
    <row r="74" spans="1:6" ht="15.75" hidden="1" thickTop="1" thickBot="1">
      <c r="A74" s="150" t="s">
        <v>124</v>
      </c>
      <c r="B74" s="284" t="s">
        <v>177</v>
      </c>
      <c r="C74" s="285" t="s">
        <v>172</v>
      </c>
      <c r="D74" s="243"/>
      <c r="E74" s="234"/>
      <c r="F74" s="223"/>
    </row>
    <row r="75" spans="1:6" ht="15.75" hidden="1" thickTop="1" thickBot="1">
      <c r="A75" s="150" t="s">
        <v>124</v>
      </c>
      <c r="B75" s="284" t="s">
        <v>177</v>
      </c>
      <c r="C75" s="285" t="s">
        <v>172</v>
      </c>
      <c r="D75" s="244"/>
      <c r="E75" s="225"/>
      <c r="F75" s="226"/>
    </row>
    <row r="76" spans="1:6" ht="15.75" hidden="1" thickTop="1" thickBot="1">
      <c r="A76" s="150" t="s">
        <v>124</v>
      </c>
      <c r="B76" s="284" t="s">
        <v>177</v>
      </c>
      <c r="C76" s="285" t="s">
        <v>172</v>
      </c>
      <c r="D76" s="244"/>
      <c r="E76" s="225"/>
      <c r="F76" s="226"/>
    </row>
    <row r="77" spans="1:6" ht="15.75" hidden="1" thickTop="1" thickBot="1">
      <c r="A77" s="150" t="s">
        <v>124</v>
      </c>
      <c r="B77" s="284" t="s">
        <v>177</v>
      </c>
      <c r="C77" s="285" t="s">
        <v>172</v>
      </c>
      <c r="D77" s="244"/>
      <c r="E77" s="225"/>
      <c r="F77" s="226"/>
    </row>
    <row r="78" spans="1:6" ht="15.75" hidden="1" thickTop="1" thickBot="1">
      <c r="A78" s="150" t="s">
        <v>124</v>
      </c>
      <c r="B78" s="284" t="s">
        <v>177</v>
      </c>
      <c r="C78" s="285" t="s">
        <v>172</v>
      </c>
      <c r="D78" s="245"/>
      <c r="E78" s="158"/>
      <c r="F78" s="226"/>
    </row>
    <row r="79" spans="1:6" ht="16.5" hidden="1" customHeight="1" thickTop="1" thickBot="1">
      <c r="A79" s="150" t="s">
        <v>124</v>
      </c>
      <c r="B79" s="284" t="s">
        <v>177</v>
      </c>
      <c r="C79" s="285" t="s">
        <v>174</v>
      </c>
      <c r="D79" s="243"/>
      <c r="E79" s="234"/>
      <c r="F79" s="223"/>
    </row>
    <row r="80" spans="1:6" ht="15.75" hidden="1" thickTop="1" thickBot="1">
      <c r="A80" s="150" t="s">
        <v>124</v>
      </c>
      <c r="B80" s="284" t="s">
        <v>177</v>
      </c>
      <c r="C80" s="285" t="s">
        <v>174</v>
      </c>
      <c r="D80" s="244"/>
      <c r="E80" s="225"/>
      <c r="F80" s="226"/>
    </row>
    <row r="81" spans="1:6" ht="16.5" hidden="1" customHeight="1" thickTop="1" thickBot="1">
      <c r="A81" s="150" t="s">
        <v>124</v>
      </c>
      <c r="B81" s="284" t="s">
        <v>177</v>
      </c>
      <c r="C81" s="285" t="s">
        <v>174</v>
      </c>
      <c r="D81" s="244"/>
      <c r="E81" s="225"/>
      <c r="F81" s="226"/>
    </row>
    <row r="82" spans="1:6" ht="15.75" hidden="1" customHeight="1" thickTop="1" thickBot="1">
      <c r="A82" s="150" t="s">
        <v>124</v>
      </c>
      <c r="B82" s="284" t="s">
        <v>177</v>
      </c>
      <c r="C82" s="285" t="s">
        <v>174</v>
      </c>
      <c r="D82" s="245"/>
      <c r="E82" s="158"/>
      <c r="F82" s="226"/>
    </row>
    <row r="83" spans="1:6" ht="15.75" customHeight="1" thickTop="1" thickBot="1">
      <c r="A83" s="150" t="s">
        <v>128</v>
      </c>
      <c r="B83" s="284" t="s">
        <v>140</v>
      </c>
      <c r="C83" s="286" t="s">
        <v>123</v>
      </c>
      <c r="D83" s="203">
        <v>0</v>
      </c>
      <c r="E83" s="139">
        <v>0.92</v>
      </c>
      <c r="F83" s="132">
        <v>54</v>
      </c>
    </row>
    <row r="84" spans="1:6" ht="15.75" customHeight="1" thickTop="1" thickBot="1">
      <c r="A84" s="150" t="s">
        <v>128</v>
      </c>
      <c r="B84" s="284" t="s">
        <v>140</v>
      </c>
      <c r="C84" s="286" t="s">
        <v>123</v>
      </c>
      <c r="D84" s="140">
        <v>0.93</v>
      </c>
      <c r="E84" s="141">
        <v>0.99</v>
      </c>
      <c r="F84" s="135">
        <v>96</v>
      </c>
    </row>
    <row r="85" spans="1:6" ht="37.5" thickTop="1" thickBot="1">
      <c r="A85" s="150" t="s">
        <v>128</v>
      </c>
      <c r="B85" s="284" t="s">
        <v>140</v>
      </c>
      <c r="C85" s="286" t="s">
        <v>123</v>
      </c>
      <c r="D85" s="140">
        <v>1</v>
      </c>
      <c r="E85" s="141" t="s">
        <v>141</v>
      </c>
      <c r="F85" s="135">
        <v>127</v>
      </c>
    </row>
    <row r="86" spans="1:6" ht="15.75" customHeight="1" thickTop="1" thickBot="1">
      <c r="A86" s="150" t="s">
        <v>128</v>
      </c>
      <c r="B86" s="284" t="s">
        <v>140</v>
      </c>
      <c r="C86" s="286" t="s">
        <v>123</v>
      </c>
      <c r="D86" s="140" t="s">
        <v>132</v>
      </c>
      <c r="E86" s="141" t="s">
        <v>38</v>
      </c>
      <c r="F86" s="135">
        <v>71</v>
      </c>
    </row>
    <row r="87" spans="1:6" ht="37.5" hidden="1" thickTop="1" thickBot="1">
      <c r="A87" s="150" t="s">
        <v>128</v>
      </c>
      <c r="B87" s="284" t="s">
        <v>140</v>
      </c>
      <c r="C87" s="286" t="s">
        <v>123</v>
      </c>
      <c r="D87" s="200"/>
      <c r="E87" s="201"/>
      <c r="F87" s="202"/>
    </row>
    <row r="88" spans="1:6" ht="37.5" hidden="1" thickTop="1" thickBot="1">
      <c r="A88" s="150" t="s">
        <v>128</v>
      </c>
      <c r="B88" s="284" t="s">
        <v>140</v>
      </c>
      <c r="C88" s="286" t="s">
        <v>123</v>
      </c>
      <c r="D88" s="200"/>
      <c r="E88" s="201"/>
      <c r="F88" s="202"/>
    </row>
    <row r="89" spans="1:6" ht="37.5" hidden="1" thickTop="1" thickBot="1">
      <c r="A89" s="150" t="s">
        <v>128</v>
      </c>
      <c r="B89" s="284" t="s">
        <v>140</v>
      </c>
      <c r="C89" s="286" t="s">
        <v>123</v>
      </c>
      <c r="D89" s="152"/>
      <c r="E89" s="153"/>
      <c r="F89" s="154"/>
    </row>
    <row r="90" spans="1:6" ht="37.5" thickTop="1" thickBot="1">
      <c r="A90" s="150" t="s">
        <v>128</v>
      </c>
      <c r="B90" s="284" t="s">
        <v>140</v>
      </c>
      <c r="C90" s="288" t="s">
        <v>125</v>
      </c>
      <c r="D90" s="203">
        <v>0</v>
      </c>
      <c r="E90" s="139">
        <v>0.78</v>
      </c>
      <c r="F90" s="204">
        <v>64</v>
      </c>
    </row>
    <row r="91" spans="1:6" ht="37.5" thickTop="1" thickBot="1">
      <c r="A91" s="150" t="s">
        <v>128</v>
      </c>
      <c r="B91" s="284" t="s">
        <v>140</v>
      </c>
      <c r="C91" s="288" t="s">
        <v>125</v>
      </c>
      <c r="D91" s="140">
        <v>0.79</v>
      </c>
      <c r="E91" s="141">
        <v>0.99</v>
      </c>
      <c r="F91" s="205">
        <v>91</v>
      </c>
    </row>
    <row r="92" spans="1:6" ht="37.5" thickTop="1" thickBot="1">
      <c r="A92" s="150" t="s">
        <v>128</v>
      </c>
      <c r="B92" s="284" t="s">
        <v>140</v>
      </c>
      <c r="C92" s="288" t="s">
        <v>125</v>
      </c>
      <c r="D92" s="140">
        <v>1</v>
      </c>
      <c r="E92" s="151" t="s">
        <v>127</v>
      </c>
      <c r="F92" s="205">
        <v>118</v>
      </c>
    </row>
    <row r="93" spans="1:6" ht="37.5" thickTop="1" thickBot="1">
      <c r="A93" s="150" t="s">
        <v>128</v>
      </c>
      <c r="B93" s="284" t="s">
        <v>140</v>
      </c>
      <c r="C93" s="288" t="s">
        <v>125</v>
      </c>
      <c r="D93" s="140" t="s">
        <v>132</v>
      </c>
      <c r="E93" s="141" t="s">
        <v>38</v>
      </c>
      <c r="F93" s="205">
        <v>83</v>
      </c>
    </row>
    <row r="94" spans="1:6" ht="37.5" hidden="1" thickTop="1" thickBot="1">
      <c r="A94" s="150" t="s">
        <v>128</v>
      </c>
      <c r="B94" s="284" t="s">
        <v>140</v>
      </c>
      <c r="C94" s="288" t="s">
        <v>125</v>
      </c>
      <c r="D94" s="152"/>
      <c r="E94" s="153"/>
      <c r="F94" s="154"/>
    </row>
    <row r="95" spans="1:6" ht="37.5" thickTop="1" thickBot="1">
      <c r="A95" s="150" t="s">
        <v>128</v>
      </c>
      <c r="B95" s="284" t="s">
        <v>142</v>
      </c>
      <c r="C95" s="288" t="s">
        <v>143</v>
      </c>
      <c r="D95" s="206">
        <v>0</v>
      </c>
      <c r="E95" s="131"/>
      <c r="F95" s="132">
        <v>121</v>
      </c>
    </row>
    <row r="96" spans="1:6" ht="37.5" thickTop="1" thickBot="1">
      <c r="A96" s="150" t="s">
        <v>128</v>
      </c>
      <c r="B96" s="284" t="s">
        <v>142</v>
      </c>
      <c r="C96" s="288" t="s">
        <v>143</v>
      </c>
      <c r="D96" s="133">
        <v>1</v>
      </c>
      <c r="E96" s="134"/>
      <c r="F96" s="135">
        <v>58</v>
      </c>
    </row>
    <row r="97" spans="1:6" ht="37.5" thickTop="1" thickBot="1">
      <c r="A97" s="150" t="s">
        <v>128</v>
      </c>
      <c r="B97" s="284" t="s">
        <v>142</v>
      </c>
      <c r="C97" s="288" t="s">
        <v>143</v>
      </c>
      <c r="D97" s="155">
        <v>2</v>
      </c>
      <c r="E97" s="157"/>
      <c r="F97" s="135">
        <v>12</v>
      </c>
    </row>
    <row r="98" spans="1:6" ht="37.5" thickTop="1" thickBot="1">
      <c r="A98" s="150" t="s">
        <v>128</v>
      </c>
      <c r="B98" s="284" t="s">
        <v>142</v>
      </c>
      <c r="C98" s="288" t="s">
        <v>143</v>
      </c>
      <c r="D98" s="155">
        <v>3</v>
      </c>
      <c r="E98" s="157" t="s">
        <v>129</v>
      </c>
      <c r="F98" s="135">
        <v>-57</v>
      </c>
    </row>
    <row r="99" spans="1:6" ht="37.5" thickTop="1" thickBot="1">
      <c r="A99" s="150" t="s">
        <v>128</v>
      </c>
      <c r="B99" s="284" t="s">
        <v>142</v>
      </c>
      <c r="C99" s="288" t="s">
        <v>143</v>
      </c>
      <c r="D99" s="136" t="s">
        <v>132</v>
      </c>
      <c r="E99" s="137" t="s">
        <v>38</v>
      </c>
      <c r="F99" s="156">
        <v>90</v>
      </c>
    </row>
    <row r="100" spans="1:6" ht="37.5" thickTop="1" thickBot="1">
      <c r="A100" s="150" t="s">
        <v>128</v>
      </c>
      <c r="B100" s="284" t="s">
        <v>142</v>
      </c>
      <c r="C100" s="288" t="s">
        <v>144</v>
      </c>
      <c r="D100" s="138">
        <v>0</v>
      </c>
      <c r="E100" s="139">
        <v>0.5</v>
      </c>
      <c r="F100" s="132">
        <v>66</v>
      </c>
    </row>
    <row r="101" spans="1:6" ht="37.5" thickTop="1" thickBot="1">
      <c r="A101" s="150" t="s">
        <v>128</v>
      </c>
      <c r="B101" s="284" t="s">
        <v>142</v>
      </c>
      <c r="C101" s="288" t="s">
        <v>144</v>
      </c>
      <c r="D101" s="140">
        <v>0.5</v>
      </c>
      <c r="E101" s="141">
        <v>0.71</v>
      </c>
      <c r="F101" s="135">
        <v>73</v>
      </c>
    </row>
    <row r="102" spans="1:6" ht="37.5" thickTop="1" thickBot="1">
      <c r="A102" s="150" t="s">
        <v>128</v>
      </c>
      <c r="B102" s="284" t="s">
        <v>142</v>
      </c>
      <c r="C102" s="288" t="s">
        <v>144</v>
      </c>
      <c r="D102" s="140">
        <v>0.71</v>
      </c>
      <c r="E102" s="141">
        <v>0.95</v>
      </c>
      <c r="F102" s="135">
        <v>81</v>
      </c>
    </row>
    <row r="103" spans="1:6" ht="37.5" thickTop="1" thickBot="1">
      <c r="A103" s="150" t="s">
        <v>128</v>
      </c>
      <c r="B103" s="284" t="s">
        <v>142</v>
      </c>
      <c r="C103" s="288" t="s">
        <v>144</v>
      </c>
      <c r="D103" s="140">
        <v>0.95</v>
      </c>
      <c r="E103" s="141">
        <v>1</v>
      </c>
      <c r="F103" s="135">
        <v>86</v>
      </c>
    </row>
    <row r="104" spans="1:6" ht="37.5" thickTop="1" thickBot="1">
      <c r="A104" s="150" t="s">
        <v>128</v>
      </c>
      <c r="B104" s="284" t="s">
        <v>142</v>
      </c>
      <c r="C104" s="288" t="s">
        <v>144</v>
      </c>
      <c r="D104" s="140">
        <v>1</v>
      </c>
      <c r="E104" s="141" t="s">
        <v>141</v>
      </c>
      <c r="F104" s="135">
        <v>102</v>
      </c>
    </row>
    <row r="105" spans="1:6" ht="37.5" thickTop="1" thickBot="1">
      <c r="A105" s="150" t="s">
        <v>128</v>
      </c>
      <c r="B105" s="284" t="s">
        <v>142</v>
      </c>
      <c r="C105" s="288" t="s">
        <v>144</v>
      </c>
      <c r="D105" s="136" t="s">
        <v>132</v>
      </c>
      <c r="E105" s="137" t="s">
        <v>38</v>
      </c>
      <c r="F105" s="207">
        <v>94</v>
      </c>
    </row>
    <row r="106" spans="1:6" ht="15.75" hidden="1" thickTop="1" thickBot="1">
      <c r="A106" s="150" t="s">
        <v>128</v>
      </c>
      <c r="B106" s="284" t="s">
        <v>177</v>
      </c>
      <c r="C106" s="288" t="s">
        <v>146</v>
      </c>
      <c r="D106" s="221"/>
      <c r="E106" s="222"/>
      <c r="F106" s="223"/>
    </row>
    <row r="107" spans="1:6" ht="15.75" hidden="1" thickTop="1" thickBot="1">
      <c r="A107" s="150" t="s">
        <v>128</v>
      </c>
      <c r="B107" s="284" t="s">
        <v>177</v>
      </c>
      <c r="C107" s="288" t="s">
        <v>146</v>
      </c>
      <c r="D107" s="224"/>
      <c r="E107" s="225"/>
      <c r="F107" s="226"/>
    </row>
    <row r="108" spans="1:6" ht="15.75" hidden="1" thickTop="1" thickBot="1">
      <c r="A108" s="150" t="s">
        <v>128</v>
      </c>
      <c r="B108" s="284" t="s">
        <v>177</v>
      </c>
      <c r="C108" s="288" t="s">
        <v>146</v>
      </c>
      <c r="D108" s="227"/>
      <c r="E108" s="225"/>
      <c r="F108" s="226"/>
    </row>
    <row r="109" spans="1:6" ht="15.75" hidden="1" thickTop="1" thickBot="1">
      <c r="A109" s="150" t="s">
        <v>128</v>
      </c>
      <c r="B109" s="284" t="s">
        <v>177</v>
      </c>
      <c r="C109" s="288" t="s">
        <v>146</v>
      </c>
      <c r="D109" s="227"/>
      <c r="E109" s="225"/>
      <c r="F109" s="226"/>
    </row>
    <row r="110" spans="1:6" ht="15.75" hidden="1" thickTop="1" thickBot="1">
      <c r="A110" s="150" t="s">
        <v>128</v>
      </c>
      <c r="B110" s="284" t="s">
        <v>177</v>
      </c>
      <c r="C110" s="288" t="s">
        <v>146</v>
      </c>
      <c r="D110" s="227"/>
      <c r="E110" s="225"/>
      <c r="F110" s="226"/>
    </row>
    <row r="111" spans="1:6" ht="15.75" hidden="1" thickTop="1" thickBot="1">
      <c r="A111" s="150" t="s">
        <v>128</v>
      </c>
      <c r="B111" s="284" t="s">
        <v>177</v>
      </c>
      <c r="C111" s="288" t="s">
        <v>146</v>
      </c>
      <c r="D111" s="160"/>
      <c r="E111" s="158"/>
      <c r="F111" s="228"/>
    </row>
    <row r="112" spans="1:6" ht="15.75" hidden="1" thickTop="1" thickBot="1">
      <c r="A112" s="150" t="s">
        <v>128</v>
      </c>
      <c r="B112" s="284" t="s">
        <v>177</v>
      </c>
      <c r="C112" s="289" t="s">
        <v>150</v>
      </c>
      <c r="D112" s="229"/>
      <c r="E112" s="230"/>
      <c r="F112" s="223"/>
    </row>
    <row r="113" spans="1:6" ht="15.75" hidden="1" thickTop="1" thickBot="1">
      <c r="A113" s="150" t="s">
        <v>128</v>
      </c>
      <c r="B113" s="284" t="s">
        <v>177</v>
      </c>
      <c r="C113" s="289" t="s">
        <v>150</v>
      </c>
      <c r="D113" s="231"/>
      <c r="E113" s="232"/>
      <c r="F113" s="226"/>
    </row>
    <row r="114" spans="1:6" ht="15.75" hidden="1" thickTop="1" thickBot="1">
      <c r="A114" s="150" t="s">
        <v>128</v>
      </c>
      <c r="B114" s="284" t="s">
        <v>177</v>
      </c>
      <c r="C114" s="289" t="s">
        <v>150</v>
      </c>
      <c r="D114" s="231"/>
      <c r="E114" s="232"/>
      <c r="F114" s="226"/>
    </row>
    <row r="115" spans="1:6" ht="15.75" hidden="1" thickTop="1" thickBot="1">
      <c r="A115" s="150" t="s">
        <v>128</v>
      </c>
      <c r="B115" s="284" t="s">
        <v>177</v>
      </c>
      <c r="C115" s="289" t="s">
        <v>150</v>
      </c>
      <c r="D115" s="160"/>
      <c r="E115" s="158"/>
      <c r="F115" s="228"/>
    </row>
    <row r="116" spans="1:6" ht="15.75" hidden="1" thickTop="1" thickBot="1">
      <c r="A116" s="150" t="s">
        <v>128</v>
      </c>
      <c r="B116" s="284" t="s">
        <v>177</v>
      </c>
      <c r="C116" s="289" t="s">
        <v>152</v>
      </c>
      <c r="D116" s="233"/>
      <c r="E116" s="234"/>
      <c r="F116" s="223"/>
    </row>
    <row r="117" spans="1:6" ht="15.75" hidden="1" thickTop="1" thickBot="1">
      <c r="A117" s="150" t="s">
        <v>128</v>
      </c>
      <c r="B117" s="284" t="s">
        <v>177</v>
      </c>
      <c r="C117" s="289" t="s">
        <v>152</v>
      </c>
      <c r="D117" s="227"/>
      <c r="E117" s="225"/>
      <c r="F117" s="226"/>
    </row>
    <row r="118" spans="1:6" ht="15.75" hidden="1" thickTop="1" thickBot="1">
      <c r="A118" s="150" t="s">
        <v>128</v>
      </c>
      <c r="B118" s="284" t="s">
        <v>177</v>
      </c>
      <c r="C118" s="289" t="s">
        <v>152</v>
      </c>
      <c r="D118" s="227"/>
      <c r="E118" s="225"/>
      <c r="F118" s="226"/>
    </row>
    <row r="119" spans="1:6" ht="15.75" hidden="1" thickTop="1" thickBot="1">
      <c r="A119" s="150" t="s">
        <v>128</v>
      </c>
      <c r="B119" s="284" t="s">
        <v>177</v>
      </c>
      <c r="C119" s="289" t="s">
        <v>152</v>
      </c>
      <c r="D119" s="160"/>
      <c r="E119" s="158"/>
      <c r="F119" s="228"/>
    </row>
    <row r="120" spans="1:6" ht="15.75" thickTop="1" thickBot="1">
      <c r="A120" s="150" t="s">
        <v>128</v>
      </c>
      <c r="B120" s="284" t="s">
        <v>177</v>
      </c>
      <c r="C120" s="285" t="s">
        <v>154</v>
      </c>
      <c r="D120" s="212">
        <v>-100</v>
      </c>
      <c r="E120" s="211">
        <v>-3.69</v>
      </c>
      <c r="F120" s="132">
        <v>91</v>
      </c>
    </row>
    <row r="121" spans="1:6" ht="15.75" thickTop="1" thickBot="1">
      <c r="A121" s="150" t="s">
        <v>128</v>
      </c>
      <c r="B121" s="284" t="s">
        <v>177</v>
      </c>
      <c r="C121" s="285" t="s">
        <v>154</v>
      </c>
      <c r="D121" s="155">
        <v>-3.69</v>
      </c>
      <c r="E121" s="216">
        <v>0</v>
      </c>
      <c r="F121" s="135">
        <v>98</v>
      </c>
    </row>
    <row r="122" spans="1:6" ht="15.75" thickTop="1" thickBot="1">
      <c r="A122" s="150" t="s">
        <v>128</v>
      </c>
      <c r="B122" s="284" t="s">
        <v>177</v>
      </c>
      <c r="C122" s="285" t="s">
        <v>154</v>
      </c>
      <c r="D122" s="217">
        <v>0</v>
      </c>
      <c r="E122" s="216">
        <v>1.6</v>
      </c>
      <c r="F122" s="135">
        <v>102</v>
      </c>
    </row>
    <row r="123" spans="1:6" ht="15.75" thickTop="1" thickBot="1">
      <c r="A123" s="150" t="s">
        <v>128</v>
      </c>
      <c r="B123" s="284" t="s">
        <v>177</v>
      </c>
      <c r="C123" s="285" t="s">
        <v>154</v>
      </c>
      <c r="D123" s="217">
        <v>1.6</v>
      </c>
      <c r="E123" s="157" t="s">
        <v>160</v>
      </c>
      <c r="F123" s="135">
        <v>108</v>
      </c>
    </row>
    <row r="124" spans="1:6" ht="15.75" thickTop="1" thickBot="1">
      <c r="A124" s="150" t="s">
        <v>128</v>
      </c>
      <c r="B124" s="284" t="s">
        <v>177</v>
      </c>
      <c r="C124" s="285" t="s">
        <v>154</v>
      </c>
      <c r="D124" s="136" t="s">
        <v>132</v>
      </c>
      <c r="E124" s="137" t="s">
        <v>38</v>
      </c>
      <c r="F124" s="207">
        <v>88</v>
      </c>
    </row>
    <row r="125" spans="1:6" ht="15.75" thickTop="1" thickBot="1">
      <c r="A125" s="150" t="s">
        <v>128</v>
      </c>
      <c r="B125" s="284" t="s">
        <v>177</v>
      </c>
      <c r="C125" s="285" t="s">
        <v>156</v>
      </c>
      <c r="D125" s="214">
        <v>-1</v>
      </c>
      <c r="E125" s="215">
        <v>7.0000000000000001E-3</v>
      </c>
      <c r="F125" s="132">
        <v>88</v>
      </c>
    </row>
    <row r="126" spans="1:6" ht="15.75" thickTop="1" thickBot="1">
      <c r="A126" s="150" t="s">
        <v>128</v>
      </c>
      <c r="B126" s="284" t="s">
        <v>177</v>
      </c>
      <c r="C126" s="285" t="s">
        <v>156</v>
      </c>
      <c r="D126" s="209">
        <v>7.0000000000000001E-3</v>
      </c>
      <c r="E126" s="210">
        <v>1.9E-2</v>
      </c>
      <c r="F126" s="135">
        <v>99</v>
      </c>
    </row>
    <row r="127" spans="1:6" ht="15.75" thickTop="1" thickBot="1">
      <c r="A127" s="150" t="s">
        <v>128</v>
      </c>
      <c r="B127" s="284" t="s">
        <v>177</v>
      </c>
      <c r="C127" s="285" t="s">
        <v>156</v>
      </c>
      <c r="D127" s="209">
        <v>1.9E-2</v>
      </c>
      <c r="E127" s="210" t="s">
        <v>157</v>
      </c>
      <c r="F127" s="135">
        <v>113</v>
      </c>
    </row>
    <row r="128" spans="1:6" ht="15.75" thickTop="1" thickBot="1">
      <c r="A128" s="150" t="s">
        <v>128</v>
      </c>
      <c r="B128" s="284" t="s">
        <v>177</v>
      </c>
      <c r="C128" s="285" t="s">
        <v>156</v>
      </c>
      <c r="D128" s="209" t="s">
        <v>132</v>
      </c>
      <c r="E128" s="210" t="s">
        <v>38</v>
      </c>
      <c r="F128" s="135">
        <v>84</v>
      </c>
    </row>
    <row r="129" spans="1:6" ht="15.75" hidden="1" thickTop="1" thickBot="1">
      <c r="A129" s="150" t="s">
        <v>128</v>
      </c>
      <c r="B129" s="284" t="s">
        <v>177</v>
      </c>
      <c r="C129" s="285" t="s">
        <v>156</v>
      </c>
      <c r="D129" s="160"/>
      <c r="E129" s="158"/>
      <c r="F129" s="228"/>
    </row>
    <row r="130" spans="1:6" ht="15.75" thickTop="1" thickBot="1">
      <c r="A130" s="150" t="s">
        <v>128</v>
      </c>
      <c r="B130" s="284" t="s">
        <v>177</v>
      </c>
      <c r="C130" s="285" t="s">
        <v>158</v>
      </c>
      <c r="D130" s="212">
        <v>-100</v>
      </c>
      <c r="E130" s="211">
        <v>3.87</v>
      </c>
      <c r="F130" s="132">
        <v>100</v>
      </c>
    </row>
    <row r="131" spans="1:6" ht="15.75" thickTop="1" thickBot="1">
      <c r="A131" s="150" t="s">
        <v>128</v>
      </c>
      <c r="B131" s="284" t="s">
        <v>177</v>
      </c>
      <c r="C131" s="285" t="s">
        <v>158</v>
      </c>
      <c r="D131" s="155">
        <v>3.87</v>
      </c>
      <c r="E131" s="216">
        <v>26.6</v>
      </c>
      <c r="F131" s="135">
        <v>109</v>
      </c>
    </row>
    <row r="132" spans="1:6" ht="15.75" thickTop="1" thickBot="1">
      <c r="A132" s="150" t="s">
        <v>128</v>
      </c>
      <c r="B132" s="284" t="s">
        <v>177</v>
      </c>
      <c r="C132" s="285" t="s">
        <v>158</v>
      </c>
      <c r="D132" s="217">
        <v>26.6</v>
      </c>
      <c r="E132" s="157" t="s">
        <v>159</v>
      </c>
      <c r="F132" s="135">
        <v>119</v>
      </c>
    </row>
    <row r="133" spans="1:6" ht="15.75" thickTop="1" thickBot="1">
      <c r="A133" s="150" t="s">
        <v>128</v>
      </c>
      <c r="B133" s="284" t="s">
        <v>177</v>
      </c>
      <c r="C133" s="285" t="s">
        <v>158</v>
      </c>
      <c r="D133" s="136" t="s">
        <v>132</v>
      </c>
      <c r="E133" s="137" t="s">
        <v>38</v>
      </c>
      <c r="F133" s="207">
        <v>85</v>
      </c>
    </row>
    <row r="134" spans="1:6" ht="15.75" hidden="1" thickTop="1" thickBot="1">
      <c r="A134" s="150" t="s">
        <v>128</v>
      </c>
      <c r="B134" s="284" t="s">
        <v>177</v>
      </c>
      <c r="C134" s="285" t="s">
        <v>161</v>
      </c>
      <c r="D134" s="229"/>
      <c r="E134" s="235"/>
      <c r="F134" s="223"/>
    </row>
    <row r="135" spans="1:6" ht="15.75" hidden="1" thickTop="1" thickBot="1">
      <c r="A135" s="150" t="s">
        <v>128</v>
      </c>
      <c r="B135" s="284" t="s">
        <v>177</v>
      </c>
      <c r="C135" s="285" t="s">
        <v>161</v>
      </c>
      <c r="D135" s="237"/>
      <c r="E135" s="236"/>
      <c r="F135" s="226"/>
    </row>
    <row r="136" spans="1:6" ht="15.75" hidden="1" thickTop="1" thickBot="1">
      <c r="A136" s="150" t="s">
        <v>128</v>
      </c>
      <c r="B136" s="284" t="s">
        <v>177</v>
      </c>
      <c r="C136" s="285" t="s">
        <v>161</v>
      </c>
      <c r="D136" s="237"/>
      <c r="E136" s="236"/>
      <c r="F136" s="226"/>
    </row>
    <row r="137" spans="1:6" ht="15.75" hidden="1" thickTop="1" thickBot="1">
      <c r="A137" s="150" t="s">
        <v>128</v>
      </c>
      <c r="B137" s="284" t="s">
        <v>177</v>
      </c>
      <c r="C137" s="285" t="s">
        <v>161</v>
      </c>
      <c r="D137" s="237"/>
      <c r="E137" s="232"/>
      <c r="F137" s="226"/>
    </row>
    <row r="138" spans="1:6" ht="15.75" hidden="1" thickTop="1" thickBot="1">
      <c r="A138" s="150" t="s">
        <v>128</v>
      </c>
      <c r="B138" s="284" t="s">
        <v>177</v>
      </c>
      <c r="C138" s="285" t="s">
        <v>161</v>
      </c>
      <c r="D138" s="160"/>
      <c r="E138" s="158"/>
      <c r="F138" s="228"/>
    </row>
    <row r="139" spans="1:6" ht="15.75" hidden="1" thickTop="1" thickBot="1">
      <c r="A139" s="150" t="s">
        <v>128</v>
      </c>
      <c r="B139" s="284" t="s">
        <v>177</v>
      </c>
      <c r="C139" s="285" t="s">
        <v>163</v>
      </c>
      <c r="D139" s="233"/>
      <c r="E139" s="234"/>
      <c r="F139" s="223"/>
    </row>
    <row r="140" spans="1:6" ht="15.75" hidden="1" thickTop="1" thickBot="1">
      <c r="A140" s="150" t="s">
        <v>128</v>
      </c>
      <c r="B140" s="284" t="s">
        <v>177</v>
      </c>
      <c r="C140" s="285" t="s">
        <v>163</v>
      </c>
      <c r="D140" s="227"/>
      <c r="E140" s="225"/>
      <c r="F140" s="226"/>
    </row>
    <row r="141" spans="1:6" ht="15.75" hidden="1" thickTop="1" thickBot="1">
      <c r="A141" s="150" t="s">
        <v>128</v>
      </c>
      <c r="B141" s="284" t="s">
        <v>177</v>
      </c>
      <c r="C141" s="285" t="s">
        <v>163</v>
      </c>
      <c r="D141" s="227"/>
      <c r="E141" s="225"/>
      <c r="F141" s="226"/>
    </row>
    <row r="142" spans="1:6" ht="15.75" hidden="1" thickTop="1" thickBot="1">
      <c r="A142" s="150" t="s">
        <v>128</v>
      </c>
      <c r="B142" s="284" t="s">
        <v>177</v>
      </c>
      <c r="C142" s="285" t="s">
        <v>163</v>
      </c>
      <c r="D142" s="227"/>
      <c r="E142" s="225"/>
      <c r="F142" s="226"/>
    </row>
    <row r="143" spans="1:6" ht="15.75" hidden="1" thickTop="1" thickBot="1">
      <c r="A143" s="150" t="s">
        <v>128</v>
      </c>
      <c r="B143" s="284" t="s">
        <v>177</v>
      </c>
      <c r="C143" s="285" t="s">
        <v>163</v>
      </c>
      <c r="D143" s="160"/>
      <c r="E143" s="158"/>
      <c r="F143" s="228"/>
    </row>
    <row r="144" spans="1:6" ht="15.75" hidden="1" thickTop="1" thickBot="1">
      <c r="A144" s="150" t="s">
        <v>128</v>
      </c>
      <c r="B144" s="284" t="s">
        <v>177</v>
      </c>
      <c r="C144" s="285" t="s">
        <v>167</v>
      </c>
      <c r="D144" s="229"/>
      <c r="E144" s="235"/>
      <c r="F144" s="223"/>
    </row>
    <row r="145" spans="1:6" ht="15.75" hidden="1" thickTop="1" thickBot="1">
      <c r="A145" s="150" t="s">
        <v>128</v>
      </c>
      <c r="B145" s="284" t="s">
        <v>177</v>
      </c>
      <c r="C145" s="285" t="s">
        <v>167</v>
      </c>
      <c r="D145" s="237"/>
      <c r="E145" s="236"/>
      <c r="F145" s="226"/>
    </row>
    <row r="146" spans="1:6" ht="15.75" hidden="1" thickTop="1" thickBot="1">
      <c r="A146" s="150" t="s">
        <v>128</v>
      </c>
      <c r="B146" s="284" t="s">
        <v>177</v>
      </c>
      <c r="C146" s="285" t="s">
        <v>167</v>
      </c>
      <c r="D146" s="237"/>
      <c r="E146" s="236"/>
      <c r="F146" s="226"/>
    </row>
    <row r="147" spans="1:6" ht="15.75" hidden="1" thickTop="1" thickBot="1">
      <c r="A147" s="150" t="s">
        <v>128</v>
      </c>
      <c r="B147" s="284" t="s">
        <v>177</v>
      </c>
      <c r="C147" s="285" t="s">
        <v>167</v>
      </c>
      <c r="D147" s="237"/>
      <c r="E147" s="232"/>
      <c r="F147" s="226"/>
    </row>
    <row r="148" spans="1:6" ht="15.75" hidden="1" thickTop="1" thickBot="1">
      <c r="A148" s="150" t="s">
        <v>128</v>
      </c>
      <c r="B148" s="284" t="s">
        <v>177</v>
      </c>
      <c r="C148" s="285" t="s">
        <v>167</v>
      </c>
      <c r="D148" s="160"/>
      <c r="E148" s="158"/>
      <c r="F148" s="228"/>
    </row>
    <row r="149" spans="1:6" ht="15.75" hidden="1" thickTop="1" thickBot="1">
      <c r="A149" s="150" t="s">
        <v>128</v>
      </c>
      <c r="B149" s="284" t="s">
        <v>177</v>
      </c>
      <c r="C149" s="285" t="s">
        <v>203</v>
      </c>
      <c r="D149" s="229"/>
      <c r="E149" s="230"/>
      <c r="F149" s="223"/>
    </row>
    <row r="150" spans="1:6" ht="15.75" hidden="1" thickTop="1" thickBot="1">
      <c r="A150" s="150" t="s">
        <v>128</v>
      </c>
      <c r="B150" s="284" t="s">
        <v>177</v>
      </c>
      <c r="C150" s="285" t="s">
        <v>203</v>
      </c>
      <c r="D150" s="238"/>
      <c r="E150" s="239"/>
      <c r="F150" s="226"/>
    </row>
    <row r="151" spans="1:6" ht="15.75" hidden="1" thickTop="1" thickBot="1">
      <c r="A151" s="150" t="s">
        <v>128</v>
      </c>
      <c r="B151" s="284" t="s">
        <v>177</v>
      </c>
      <c r="C151" s="285" t="s">
        <v>203</v>
      </c>
      <c r="D151" s="238"/>
      <c r="E151" s="239"/>
      <c r="F151" s="226"/>
    </row>
    <row r="152" spans="1:6" ht="15.75" hidden="1" thickTop="1" thickBot="1">
      <c r="A152" s="150" t="s">
        <v>128</v>
      </c>
      <c r="B152" s="284" t="s">
        <v>177</v>
      </c>
      <c r="C152" s="285" t="s">
        <v>203</v>
      </c>
      <c r="D152" s="238"/>
      <c r="E152" s="232"/>
      <c r="F152" s="226"/>
    </row>
    <row r="153" spans="1:6" ht="15.75" hidden="1" thickTop="1" thickBot="1">
      <c r="A153" s="150" t="s">
        <v>128</v>
      </c>
      <c r="B153" s="284" t="s">
        <v>177</v>
      </c>
      <c r="C153" s="285" t="s">
        <v>203</v>
      </c>
      <c r="D153" s="160"/>
      <c r="E153" s="158"/>
      <c r="F153" s="228"/>
    </row>
    <row r="154" spans="1:6" ht="15.75" hidden="1" thickTop="1" thickBot="1">
      <c r="A154" s="150" t="s">
        <v>128</v>
      </c>
      <c r="B154" s="284" t="s">
        <v>177</v>
      </c>
      <c r="C154" s="285" t="s">
        <v>172</v>
      </c>
      <c r="D154" s="233"/>
      <c r="E154" s="234"/>
      <c r="F154" s="223"/>
    </row>
    <row r="155" spans="1:6" ht="15.75" hidden="1" thickTop="1" thickBot="1">
      <c r="A155" s="150" t="s">
        <v>128</v>
      </c>
      <c r="B155" s="284" t="s">
        <v>177</v>
      </c>
      <c r="C155" s="285" t="s">
        <v>172</v>
      </c>
      <c r="D155" s="227"/>
      <c r="E155" s="225"/>
      <c r="F155" s="226"/>
    </row>
    <row r="156" spans="1:6" ht="15.75" hidden="1" thickTop="1" thickBot="1">
      <c r="A156" s="150" t="s">
        <v>128</v>
      </c>
      <c r="B156" s="284" t="s">
        <v>177</v>
      </c>
      <c r="C156" s="285" t="s">
        <v>172</v>
      </c>
      <c r="D156" s="227"/>
      <c r="E156" s="225"/>
      <c r="F156" s="226"/>
    </row>
    <row r="157" spans="1:6" ht="15.75" hidden="1" thickTop="1" thickBot="1">
      <c r="A157" s="150" t="s">
        <v>128</v>
      </c>
      <c r="B157" s="284" t="s">
        <v>177</v>
      </c>
      <c r="C157" s="285" t="s">
        <v>172</v>
      </c>
      <c r="D157" s="227"/>
      <c r="E157" s="225"/>
      <c r="F157" s="226"/>
    </row>
    <row r="158" spans="1:6" ht="15.75" hidden="1" thickTop="1" thickBot="1">
      <c r="A158" s="150" t="s">
        <v>128</v>
      </c>
      <c r="B158" s="284" t="s">
        <v>177</v>
      </c>
      <c r="C158" s="285" t="s">
        <v>172</v>
      </c>
      <c r="D158" s="160"/>
      <c r="E158" s="158"/>
      <c r="F158" s="226"/>
    </row>
    <row r="159" spans="1:6" ht="15.75" hidden="1" thickTop="1" thickBot="1">
      <c r="A159" s="150" t="s">
        <v>128</v>
      </c>
      <c r="B159" s="284" t="s">
        <v>177</v>
      </c>
      <c r="C159" s="285" t="s">
        <v>174</v>
      </c>
      <c r="D159" s="233"/>
      <c r="E159" s="234"/>
      <c r="F159" s="223"/>
    </row>
    <row r="160" spans="1:6" ht="15.75" hidden="1" thickTop="1" thickBot="1">
      <c r="A160" s="150" t="s">
        <v>128</v>
      </c>
      <c r="B160" s="284" t="s">
        <v>177</v>
      </c>
      <c r="C160" s="285" t="s">
        <v>174</v>
      </c>
      <c r="D160" s="227"/>
      <c r="E160" s="225"/>
      <c r="F160" s="226"/>
    </row>
    <row r="161" spans="1:6" ht="15.75" hidden="1" thickTop="1" thickBot="1">
      <c r="A161" s="150" t="s">
        <v>128</v>
      </c>
      <c r="B161" s="284" t="s">
        <v>177</v>
      </c>
      <c r="C161" s="285" t="s">
        <v>174</v>
      </c>
      <c r="D161" s="227"/>
      <c r="E161" s="225"/>
      <c r="F161" s="226"/>
    </row>
    <row r="162" spans="1:6" ht="15.75" hidden="1" thickTop="1" thickBot="1">
      <c r="A162" s="150" t="s">
        <v>128</v>
      </c>
      <c r="B162" s="284" t="s">
        <v>177</v>
      </c>
      <c r="C162" s="285" t="s">
        <v>174</v>
      </c>
      <c r="D162" s="160"/>
      <c r="E162" s="158"/>
      <c r="F162" s="226"/>
    </row>
    <row r="163" spans="1:6" ht="37.5" thickTop="1" thickBot="1">
      <c r="A163" s="150" t="s">
        <v>216</v>
      </c>
      <c r="B163" s="284" t="s">
        <v>140</v>
      </c>
      <c r="C163" s="286" t="s">
        <v>123</v>
      </c>
      <c r="D163" s="203">
        <v>0</v>
      </c>
      <c r="E163" s="139">
        <v>0.85</v>
      </c>
      <c r="F163" s="132">
        <v>2</v>
      </c>
    </row>
    <row r="164" spans="1:6" ht="37.5" thickTop="1" thickBot="1">
      <c r="A164" s="150" t="s">
        <v>216</v>
      </c>
      <c r="B164" s="284" t="s">
        <v>140</v>
      </c>
      <c r="C164" s="286" t="s">
        <v>123</v>
      </c>
      <c r="D164" s="140">
        <v>0.86</v>
      </c>
      <c r="E164" s="141">
        <v>0.92</v>
      </c>
      <c r="F164" s="135">
        <v>37</v>
      </c>
    </row>
    <row r="165" spans="1:6" ht="37.5" thickTop="1" thickBot="1">
      <c r="A165" s="150" t="s">
        <v>216</v>
      </c>
      <c r="B165" s="284" t="s">
        <v>140</v>
      </c>
      <c r="C165" s="286" t="s">
        <v>123</v>
      </c>
      <c r="D165" s="140">
        <v>0.93</v>
      </c>
      <c r="E165" s="141">
        <v>0.95</v>
      </c>
      <c r="F165" s="135">
        <v>64</v>
      </c>
    </row>
    <row r="166" spans="1:6" ht="37.5" thickTop="1" thickBot="1">
      <c r="A166" s="150" t="s">
        <v>216</v>
      </c>
      <c r="B166" s="284" t="s">
        <v>140</v>
      </c>
      <c r="C166" s="286" t="s">
        <v>123</v>
      </c>
      <c r="D166" s="140">
        <v>0.96</v>
      </c>
      <c r="E166" s="141">
        <v>0.99</v>
      </c>
      <c r="F166" s="135">
        <v>87</v>
      </c>
    </row>
    <row r="167" spans="1:6" ht="37.5" thickTop="1" thickBot="1">
      <c r="A167" s="150" t="s">
        <v>216</v>
      </c>
      <c r="B167" s="284" t="s">
        <v>140</v>
      </c>
      <c r="C167" s="286" t="s">
        <v>123</v>
      </c>
      <c r="D167" s="140">
        <v>1</v>
      </c>
      <c r="E167" s="141" t="s">
        <v>141</v>
      </c>
      <c r="F167" s="135">
        <v>115</v>
      </c>
    </row>
    <row r="168" spans="1:6" ht="37.5" thickTop="1" thickBot="1">
      <c r="A168" s="150" t="s">
        <v>216</v>
      </c>
      <c r="B168" s="284" t="s">
        <v>140</v>
      </c>
      <c r="C168" s="286" t="s">
        <v>123</v>
      </c>
      <c r="D168" s="140" t="s">
        <v>132</v>
      </c>
      <c r="E168" s="141" t="s">
        <v>38</v>
      </c>
      <c r="F168" s="135">
        <v>94</v>
      </c>
    </row>
    <row r="169" spans="1:6" ht="37.5" hidden="1" thickTop="1" thickBot="1">
      <c r="A169" s="150" t="s">
        <v>216</v>
      </c>
      <c r="B169" s="284" t="s">
        <v>140</v>
      </c>
      <c r="C169" s="286" t="s">
        <v>123</v>
      </c>
      <c r="D169" s="152"/>
      <c r="E169" s="153"/>
      <c r="F169" s="154"/>
    </row>
    <row r="170" spans="1:6" ht="37.5" thickTop="1" thickBot="1">
      <c r="A170" s="150" t="s">
        <v>216</v>
      </c>
      <c r="B170" s="284" t="s">
        <v>140</v>
      </c>
      <c r="C170" s="288" t="s">
        <v>125</v>
      </c>
      <c r="D170" s="203">
        <v>0</v>
      </c>
      <c r="E170" s="139">
        <v>0.73</v>
      </c>
      <c r="F170" s="132">
        <v>37</v>
      </c>
    </row>
    <row r="171" spans="1:6" ht="37.5" thickTop="1" thickBot="1">
      <c r="A171" s="150" t="s">
        <v>216</v>
      </c>
      <c r="B171" s="284" t="s">
        <v>140</v>
      </c>
      <c r="C171" s="288" t="s">
        <v>125</v>
      </c>
      <c r="D171" s="140">
        <v>0.74</v>
      </c>
      <c r="E171" s="141">
        <v>0.91</v>
      </c>
      <c r="F171" s="135">
        <v>47</v>
      </c>
    </row>
    <row r="172" spans="1:6" ht="37.5" thickTop="1" thickBot="1">
      <c r="A172" s="150" t="s">
        <v>216</v>
      </c>
      <c r="B172" s="284" t="s">
        <v>140</v>
      </c>
      <c r="C172" s="288" t="s">
        <v>125</v>
      </c>
      <c r="D172" s="140">
        <v>0.92</v>
      </c>
      <c r="E172" s="141">
        <v>0.98</v>
      </c>
      <c r="F172" s="135">
        <v>78</v>
      </c>
    </row>
    <row r="173" spans="1:6" ht="37.5" thickTop="1" thickBot="1">
      <c r="A173" s="150" t="s">
        <v>216</v>
      </c>
      <c r="B173" s="284" t="s">
        <v>140</v>
      </c>
      <c r="C173" s="288" t="s">
        <v>125</v>
      </c>
      <c r="D173" s="140">
        <v>0.99</v>
      </c>
      <c r="E173" s="141">
        <v>1</v>
      </c>
      <c r="F173" s="135">
        <v>97</v>
      </c>
    </row>
    <row r="174" spans="1:6" ht="37.5" thickTop="1" thickBot="1">
      <c r="A174" s="150" t="s">
        <v>216</v>
      </c>
      <c r="B174" s="284" t="s">
        <v>140</v>
      </c>
      <c r="C174" s="288" t="s">
        <v>125</v>
      </c>
      <c r="D174" s="136" t="s">
        <v>132</v>
      </c>
      <c r="E174" s="137" t="s">
        <v>38</v>
      </c>
      <c r="F174" s="156">
        <v>82</v>
      </c>
    </row>
    <row r="175" spans="1:6" ht="37.5" thickTop="1" thickBot="1">
      <c r="A175" s="150" t="s">
        <v>216</v>
      </c>
      <c r="B175" s="284" t="s">
        <v>142</v>
      </c>
      <c r="C175" s="288" t="s">
        <v>143</v>
      </c>
      <c r="D175" s="206">
        <v>0</v>
      </c>
      <c r="E175" s="131"/>
      <c r="F175" s="132">
        <v>86</v>
      </c>
    </row>
    <row r="176" spans="1:6" ht="37.5" thickTop="1" thickBot="1">
      <c r="A176" s="150" t="s">
        <v>216</v>
      </c>
      <c r="B176" s="284" t="s">
        <v>142</v>
      </c>
      <c r="C176" s="288" t="s">
        <v>143</v>
      </c>
      <c r="D176" s="133">
        <v>1</v>
      </c>
      <c r="E176" s="134"/>
      <c r="F176" s="135">
        <v>53</v>
      </c>
    </row>
    <row r="177" spans="1:6" ht="37.5" thickTop="1" thickBot="1">
      <c r="A177" s="150" t="s">
        <v>216</v>
      </c>
      <c r="B177" s="284" t="s">
        <v>142</v>
      </c>
      <c r="C177" s="288" t="s">
        <v>143</v>
      </c>
      <c r="D177" s="155">
        <v>2</v>
      </c>
      <c r="E177" s="157"/>
      <c r="F177" s="135">
        <v>22</v>
      </c>
    </row>
    <row r="178" spans="1:6" ht="37.5" thickTop="1" thickBot="1">
      <c r="A178" s="150" t="s">
        <v>216</v>
      </c>
      <c r="B178" s="284" t="s">
        <v>142</v>
      </c>
      <c r="C178" s="288" t="s">
        <v>143</v>
      </c>
      <c r="D178" s="155">
        <v>3</v>
      </c>
      <c r="E178" s="157" t="s">
        <v>129</v>
      </c>
      <c r="F178" s="135">
        <v>-28</v>
      </c>
    </row>
    <row r="179" spans="1:6" ht="37.5" thickTop="1" thickBot="1">
      <c r="A179" s="150" t="s">
        <v>216</v>
      </c>
      <c r="B179" s="284" t="s">
        <v>142</v>
      </c>
      <c r="C179" s="288" t="s">
        <v>143</v>
      </c>
      <c r="D179" s="136" t="s">
        <v>132</v>
      </c>
      <c r="E179" s="137" t="s">
        <v>38</v>
      </c>
      <c r="F179" s="156">
        <v>70</v>
      </c>
    </row>
    <row r="180" spans="1:6" ht="37.5" thickTop="1" thickBot="1">
      <c r="A180" s="150" t="s">
        <v>216</v>
      </c>
      <c r="B180" s="284" t="s">
        <v>142</v>
      </c>
      <c r="C180" s="288" t="s">
        <v>144</v>
      </c>
      <c r="D180" s="138">
        <v>0</v>
      </c>
      <c r="E180" s="139">
        <v>0.67</v>
      </c>
      <c r="F180" s="132">
        <v>53</v>
      </c>
    </row>
    <row r="181" spans="1:6" ht="37.5" thickTop="1" thickBot="1">
      <c r="A181" s="150" t="s">
        <v>216</v>
      </c>
      <c r="B181" s="284" t="s">
        <v>142</v>
      </c>
      <c r="C181" s="288" t="s">
        <v>144</v>
      </c>
      <c r="D181" s="140">
        <v>0.67</v>
      </c>
      <c r="E181" s="141">
        <v>0.92</v>
      </c>
      <c r="F181" s="135">
        <v>66</v>
      </c>
    </row>
    <row r="182" spans="1:6" ht="37.5" thickTop="1" thickBot="1">
      <c r="A182" s="150" t="s">
        <v>216</v>
      </c>
      <c r="B182" s="284" t="s">
        <v>142</v>
      </c>
      <c r="C182" s="288" t="s">
        <v>144</v>
      </c>
      <c r="D182" s="140">
        <v>0.82</v>
      </c>
      <c r="E182" s="141">
        <v>0.96</v>
      </c>
      <c r="F182" s="135">
        <v>68</v>
      </c>
    </row>
    <row r="183" spans="1:6" ht="37.5" thickTop="1" thickBot="1">
      <c r="A183" s="150" t="s">
        <v>216</v>
      </c>
      <c r="B183" s="284" t="s">
        <v>142</v>
      </c>
      <c r="C183" s="288" t="s">
        <v>144</v>
      </c>
      <c r="D183" s="140">
        <v>0.96</v>
      </c>
      <c r="E183" s="141" t="s">
        <v>145</v>
      </c>
      <c r="F183" s="135">
        <v>85</v>
      </c>
    </row>
    <row r="184" spans="1:6" ht="37.5" thickTop="1" thickBot="1">
      <c r="A184" s="150" t="s">
        <v>216</v>
      </c>
      <c r="B184" s="284" t="s">
        <v>142</v>
      </c>
      <c r="C184" s="288" t="s">
        <v>144</v>
      </c>
      <c r="D184" s="140" t="s">
        <v>132</v>
      </c>
      <c r="E184" s="141" t="s">
        <v>38</v>
      </c>
      <c r="F184" s="135">
        <v>77</v>
      </c>
    </row>
    <row r="185" spans="1:6" ht="37.5" hidden="1" thickTop="1" thickBot="1">
      <c r="A185" s="150" t="s">
        <v>216</v>
      </c>
      <c r="B185" s="284" t="s">
        <v>142</v>
      </c>
      <c r="C185" s="288" t="s">
        <v>144</v>
      </c>
      <c r="D185" s="161"/>
      <c r="E185" s="162"/>
      <c r="F185" s="159"/>
    </row>
    <row r="186" spans="1:6" ht="15.75" hidden="1" thickTop="1" thickBot="1">
      <c r="A186" s="150" t="s">
        <v>216</v>
      </c>
      <c r="B186" s="284" t="s">
        <v>177</v>
      </c>
      <c r="C186" s="288" t="s">
        <v>146</v>
      </c>
      <c r="D186" s="221"/>
      <c r="E186" s="222"/>
      <c r="F186" s="223"/>
    </row>
    <row r="187" spans="1:6" ht="15.75" hidden="1" thickTop="1" thickBot="1">
      <c r="A187" s="150" t="s">
        <v>216</v>
      </c>
      <c r="B187" s="284" t="s">
        <v>177</v>
      </c>
      <c r="C187" s="288" t="s">
        <v>146</v>
      </c>
      <c r="D187" s="224"/>
      <c r="E187" s="225"/>
      <c r="F187" s="226"/>
    </row>
    <row r="188" spans="1:6" ht="15.75" hidden="1" thickTop="1" thickBot="1">
      <c r="A188" s="150" t="s">
        <v>216</v>
      </c>
      <c r="B188" s="284" t="s">
        <v>177</v>
      </c>
      <c r="C188" s="288" t="s">
        <v>146</v>
      </c>
      <c r="D188" s="227"/>
      <c r="E188" s="225"/>
      <c r="F188" s="226"/>
    </row>
    <row r="189" spans="1:6" ht="15.75" hidden="1" thickTop="1" thickBot="1">
      <c r="A189" s="150" t="s">
        <v>216</v>
      </c>
      <c r="B189" s="284" t="s">
        <v>177</v>
      </c>
      <c r="C189" s="288" t="s">
        <v>146</v>
      </c>
      <c r="D189" s="227"/>
      <c r="E189" s="225"/>
      <c r="F189" s="226"/>
    </row>
    <row r="190" spans="1:6" ht="15.75" hidden="1" thickTop="1" thickBot="1">
      <c r="A190" s="150" t="s">
        <v>216</v>
      </c>
      <c r="B190" s="284" t="s">
        <v>177</v>
      </c>
      <c r="C190" s="288" t="s">
        <v>146</v>
      </c>
      <c r="D190" s="227"/>
      <c r="E190" s="225"/>
      <c r="F190" s="226"/>
    </row>
    <row r="191" spans="1:6" ht="15.75" hidden="1" thickTop="1" thickBot="1">
      <c r="A191" s="150" t="s">
        <v>216</v>
      </c>
      <c r="B191" s="284" t="s">
        <v>177</v>
      </c>
      <c r="C191" s="288" t="s">
        <v>146</v>
      </c>
      <c r="D191" s="160"/>
      <c r="E191" s="158"/>
      <c r="F191" s="228"/>
    </row>
    <row r="192" spans="1:6" ht="15.75" thickTop="1" thickBot="1">
      <c r="A192" s="150" t="s">
        <v>216</v>
      </c>
      <c r="B192" s="284" t="s">
        <v>177</v>
      </c>
      <c r="C192" s="289" t="s">
        <v>150</v>
      </c>
      <c r="D192" s="212">
        <v>0</v>
      </c>
      <c r="E192" s="213">
        <v>63</v>
      </c>
      <c r="F192" s="132">
        <v>96</v>
      </c>
    </row>
    <row r="193" spans="1:6" ht="15.75" thickTop="1" thickBot="1">
      <c r="A193" s="150" t="s">
        <v>216</v>
      </c>
      <c r="B193" s="284" t="s">
        <v>177</v>
      </c>
      <c r="C193" s="289" t="s">
        <v>150</v>
      </c>
      <c r="D193" s="155">
        <v>63</v>
      </c>
      <c r="E193" s="157">
        <v>200</v>
      </c>
      <c r="F193" s="135">
        <v>91</v>
      </c>
    </row>
    <row r="194" spans="1:6" ht="15.75" thickTop="1" thickBot="1">
      <c r="A194" s="150" t="s">
        <v>216</v>
      </c>
      <c r="B194" s="284" t="s">
        <v>177</v>
      </c>
      <c r="C194" s="289" t="s">
        <v>150</v>
      </c>
      <c r="D194" s="155">
        <v>200</v>
      </c>
      <c r="E194" s="157" t="s">
        <v>165</v>
      </c>
      <c r="F194" s="135">
        <v>81</v>
      </c>
    </row>
    <row r="195" spans="1:6" ht="15.75" thickTop="1" thickBot="1">
      <c r="A195" s="150" t="s">
        <v>216</v>
      </c>
      <c r="B195" s="284" t="s">
        <v>177</v>
      </c>
      <c r="C195" s="289" t="s">
        <v>150</v>
      </c>
      <c r="D195" s="136" t="s">
        <v>132</v>
      </c>
      <c r="E195" s="137" t="s">
        <v>38</v>
      </c>
      <c r="F195" s="207">
        <v>79</v>
      </c>
    </row>
    <row r="196" spans="1:6" ht="15.75" thickTop="1" thickBot="1">
      <c r="A196" s="150" t="s">
        <v>216</v>
      </c>
      <c r="B196" s="284" t="s">
        <v>177</v>
      </c>
      <c r="C196" s="289" t="s">
        <v>152</v>
      </c>
      <c r="D196" s="214">
        <v>-1</v>
      </c>
      <c r="E196" s="215">
        <v>6.0000000000000001E-3</v>
      </c>
      <c r="F196" s="132">
        <v>86</v>
      </c>
    </row>
    <row r="197" spans="1:6" ht="15.75" thickTop="1" thickBot="1">
      <c r="A197" s="150" t="s">
        <v>216</v>
      </c>
      <c r="B197" s="284" t="s">
        <v>177</v>
      </c>
      <c r="C197" s="289" t="s">
        <v>152</v>
      </c>
      <c r="D197" s="209">
        <v>6.0000000000000001E-3</v>
      </c>
      <c r="E197" s="210">
        <v>7.6999999999999999E-2</v>
      </c>
      <c r="F197" s="135">
        <v>103</v>
      </c>
    </row>
    <row r="198" spans="1:6" ht="15.75" thickTop="1" thickBot="1">
      <c r="A198" s="150" t="s">
        <v>216</v>
      </c>
      <c r="B198" s="284" t="s">
        <v>177</v>
      </c>
      <c r="C198" s="289" t="s">
        <v>152</v>
      </c>
      <c r="D198" s="209">
        <v>7.6999999999999999E-2</v>
      </c>
      <c r="E198" s="210" t="s">
        <v>166</v>
      </c>
      <c r="F198" s="135">
        <v>118</v>
      </c>
    </row>
    <row r="199" spans="1:6" ht="15.75" thickTop="1" thickBot="1">
      <c r="A199" s="150" t="s">
        <v>216</v>
      </c>
      <c r="B199" s="284" t="s">
        <v>177</v>
      </c>
      <c r="C199" s="289" t="s">
        <v>152</v>
      </c>
      <c r="D199" s="136" t="s">
        <v>132</v>
      </c>
      <c r="E199" s="137" t="s">
        <v>38</v>
      </c>
      <c r="F199" s="207">
        <v>63</v>
      </c>
    </row>
    <row r="200" spans="1:6" ht="15.75" hidden="1" thickTop="1" thickBot="1">
      <c r="A200" s="150" t="s">
        <v>216</v>
      </c>
      <c r="B200" s="284" t="s">
        <v>177</v>
      </c>
      <c r="C200" s="285" t="s">
        <v>154</v>
      </c>
      <c r="D200" s="229"/>
      <c r="E200" s="235"/>
      <c r="F200" s="223"/>
    </row>
    <row r="201" spans="1:6" ht="15.75" hidden="1" thickTop="1" thickBot="1">
      <c r="A201" s="150" t="s">
        <v>216</v>
      </c>
      <c r="B201" s="284" t="s">
        <v>177</v>
      </c>
      <c r="C201" s="285" t="s">
        <v>154</v>
      </c>
      <c r="D201" s="231"/>
      <c r="E201" s="236"/>
      <c r="F201" s="226"/>
    </row>
    <row r="202" spans="1:6" ht="15.75" hidden="1" thickTop="1" thickBot="1">
      <c r="A202" s="150" t="s">
        <v>216</v>
      </c>
      <c r="B202" s="284" t="s">
        <v>177</v>
      </c>
      <c r="C202" s="285" t="s">
        <v>154</v>
      </c>
      <c r="D202" s="237"/>
      <c r="E202" s="236"/>
      <c r="F202" s="226"/>
    </row>
    <row r="203" spans="1:6" ht="15.75" hidden="1" thickTop="1" thickBot="1">
      <c r="A203" s="150" t="s">
        <v>216</v>
      </c>
      <c r="B203" s="284" t="s">
        <v>177</v>
      </c>
      <c r="C203" s="285" t="s">
        <v>154</v>
      </c>
      <c r="D203" s="237"/>
      <c r="E203" s="232"/>
      <c r="F203" s="226"/>
    </row>
    <row r="204" spans="1:6" ht="15.75" hidden="1" thickTop="1" thickBot="1">
      <c r="A204" s="150" t="s">
        <v>216</v>
      </c>
      <c r="B204" s="284" t="s">
        <v>177</v>
      </c>
      <c r="C204" s="285" t="s">
        <v>154</v>
      </c>
      <c r="D204" s="160"/>
      <c r="E204" s="158"/>
      <c r="F204" s="228"/>
    </row>
    <row r="205" spans="1:6" ht="15.75" hidden="1" thickTop="1" thickBot="1">
      <c r="A205" s="150" t="s">
        <v>216</v>
      </c>
      <c r="B205" s="284" t="s">
        <v>177</v>
      </c>
      <c r="C205" s="285" t="s">
        <v>156</v>
      </c>
      <c r="D205" s="233"/>
      <c r="E205" s="234"/>
      <c r="F205" s="223"/>
    </row>
    <row r="206" spans="1:6" ht="15.75" hidden="1" thickTop="1" thickBot="1">
      <c r="A206" s="150" t="s">
        <v>216</v>
      </c>
      <c r="B206" s="284" t="s">
        <v>177</v>
      </c>
      <c r="C206" s="285" t="s">
        <v>156</v>
      </c>
      <c r="D206" s="227"/>
      <c r="E206" s="225"/>
      <c r="F206" s="226"/>
    </row>
    <row r="207" spans="1:6" ht="15.75" hidden="1" thickTop="1" thickBot="1">
      <c r="A207" s="150" t="s">
        <v>216</v>
      </c>
      <c r="B207" s="284" t="s">
        <v>177</v>
      </c>
      <c r="C207" s="285" t="s">
        <v>156</v>
      </c>
      <c r="D207" s="227"/>
      <c r="E207" s="225"/>
      <c r="F207" s="226"/>
    </row>
    <row r="208" spans="1:6" ht="15.75" hidden="1" thickTop="1" thickBot="1">
      <c r="A208" s="150" t="s">
        <v>216</v>
      </c>
      <c r="B208" s="284" t="s">
        <v>177</v>
      </c>
      <c r="C208" s="285" t="s">
        <v>156</v>
      </c>
      <c r="D208" s="227"/>
      <c r="E208" s="225"/>
      <c r="F208" s="226"/>
    </row>
    <row r="209" spans="1:6" ht="15.75" hidden="1" thickTop="1" thickBot="1">
      <c r="A209" s="150" t="s">
        <v>216</v>
      </c>
      <c r="B209" s="284" t="s">
        <v>177</v>
      </c>
      <c r="C209" s="285" t="s">
        <v>156</v>
      </c>
      <c r="D209" s="160"/>
      <c r="E209" s="158"/>
      <c r="F209" s="228"/>
    </row>
    <row r="210" spans="1:6" ht="15.75" hidden="1" thickTop="1" thickBot="1">
      <c r="A210" s="150" t="s">
        <v>216</v>
      </c>
      <c r="B210" s="284" t="s">
        <v>177</v>
      </c>
      <c r="C210" s="285" t="s">
        <v>158</v>
      </c>
      <c r="D210" s="229"/>
      <c r="E210" s="235"/>
      <c r="F210" s="223"/>
    </row>
    <row r="211" spans="1:6" ht="15.75" hidden="1" thickTop="1" thickBot="1">
      <c r="A211" s="150" t="s">
        <v>216</v>
      </c>
      <c r="B211" s="284" t="s">
        <v>177</v>
      </c>
      <c r="C211" s="285" t="s">
        <v>158</v>
      </c>
      <c r="D211" s="231"/>
      <c r="E211" s="236"/>
      <c r="F211" s="226"/>
    </row>
    <row r="212" spans="1:6" ht="15.75" hidden="1" thickTop="1" thickBot="1">
      <c r="A212" s="150" t="s">
        <v>216</v>
      </c>
      <c r="B212" s="284" t="s">
        <v>177</v>
      </c>
      <c r="C212" s="285" t="s">
        <v>158</v>
      </c>
      <c r="D212" s="237"/>
      <c r="E212" s="232"/>
      <c r="F212" s="226"/>
    </row>
    <row r="213" spans="1:6" ht="15.75" hidden="1" thickTop="1" thickBot="1">
      <c r="A213" s="150" t="s">
        <v>216</v>
      </c>
      <c r="B213" s="284" t="s">
        <v>177</v>
      </c>
      <c r="C213" s="285" t="s">
        <v>158</v>
      </c>
      <c r="D213" s="160"/>
      <c r="E213" s="158"/>
      <c r="F213" s="228"/>
    </row>
    <row r="214" spans="1:6" ht="15.75" thickTop="1" thickBot="1">
      <c r="A214" s="150" t="s">
        <v>216</v>
      </c>
      <c r="B214" s="284" t="s">
        <v>177</v>
      </c>
      <c r="C214" s="285" t="s">
        <v>161</v>
      </c>
      <c r="D214" s="212">
        <v>-100</v>
      </c>
      <c r="E214" s="211">
        <v>0</v>
      </c>
      <c r="F214" s="132">
        <v>75</v>
      </c>
    </row>
    <row r="215" spans="1:6" ht="15.75" thickTop="1" thickBot="1">
      <c r="A215" s="150" t="s">
        <v>216</v>
      </c>
      <c r="B215" s="284" t="s">
        <v>177</v>
      </c>
      <c r="C215" s="285" t="s">
        <v>161</v>
      </c>
      <c r="D215" s="217">
        <v>0</v>
      </c>
      <c r="E215" s="216">
        <v>1.26</v>
      </c>
      <c r="F215" s="135">
        <v>88</v>
      </c>
    </row>
    <row r="216" spans="1:6" ht="15.75" thickTop="1" thickBot="1">
      <c r="A216" s="150" t="s">
        <v>216</v>
      </c>
      <c r="B216" s="284" t="s">
        <v>177</v>
      </c>
      <c r="C216" s="285" t="s">
        <v>161</v>
      </c>
      <c r="D216" s="217">
        <v>1.26</v>
      </c>
      <c r="E216" s="216">
        <v>2.9</v>
      </c>
      <c r="F216" s="135">
        <v>95</v>
      </c>
    </row>
    <row r="217" spans="1:6" ht="15.75" thickTop="1" thickBot="1">
      <c r="A217" s="150" t="s">
        <v>216</v>
      </c>
      <c r="B217" s="284" t="s">
        <v>177</v>
      </c>
      <c r="C217" s="285" t="s">
        <v>161</v>
      </c>
      <c r="D217" s="217">
        <v>2.9</v>
      </c>
      <c r="E217" s="157" t="s">
        <v>162</v>
      </c>
      <c r="F217" s="135">
        <v>103</v>
      </c>
    </row>
    <row r="218" spans="1:6" ht="15.75" thickTop="1" thickBot="1">
      <c r="A218" s="150" t="s">
        <v>216</v>
      </c>
      <c r="B218" s="284" t="s">
        <v>177</v>
      </c>
      <c r="C218" s="285" t="s">
        <v>161</v>
      </c>
      <c r="D218" s="136" t="s">
        <v>132</v>
      </c>
      <c r="E218" s="137" t="s">
        <v>38</v>
      </c>
      <c r="F218" s="207">
        <v>75</v>
      </c>
    </row>
    <row r="219" spans="1:6" ht="15.75" thickTop="1" thickBot="1">
      <c r="A219" s="150" t="s">
        <v>216</v>
      </c>
      <c r="B219" s="284" t="s">
        <v>177</v>
      </c>
      <c r="C219" s="285" t="s">
        <v>163</v>
      </c>
      <c r="D219" s="294">
        <v>-1</v>
      </c>
      <c r="E219" s="215">
        <v>1.7999999999999999E-2</v>
      </c>
      <c r="F219" s="132">
        <v>110</v>
      </c>
    </row>
    <row r="220" spans="1:6" ht="15.75" thickTop="1" thickBot="1">
      <c r="A220" s="150" t="s">
        <v>216</v>
      </c>
      <c r="B220" s="284" t="s">
        <v>177</v>
      </c>
      <c r="C220" s="285" t="s">
        <v>163</v>
      </c>
      <c r="D220" s="209">
        <v>1.7999999999999999E-2</v>
      </c>
      <c r="E220" s="210">
        <v>2.4E-2</v>
      </c>
      <c r="F220" s="135">
        <v>100</v>
      </c>
    </row>
    <row r="221" spans="1:6" ht="15.75" thickTop="1" thickBot="1">
      <c r="A221" s="150" t="s">
        <v>216</v>
      </c>
      <c r="B221" s="284" t="s">
        <v>177</v>
      </c>
      <c r="C221" s="285" t="s">
        <v>163</v>
      </c>
      <c r="D221" s="209">
        <v>2.4E-2</v>
      </c>
      <c r="E221" s="210">
        <v>4.4999999999999998E-2</v>
      </c>
      <c r="F221" s="135">
        <v>90</v>
      </c>
    </row>
    <row r="222" spans="1:6" ht="15.75" thickTop="1" thickBot="1">
      <c r="A222" s="150" t="s">
        <v>216</v>
      </c>
      <c r="B222" s="284" t="s">
        <v>177</v>
      </c>
      <c r="C222" s="285" t="s">
        <v>163</v>
      </c>
      <c r="D222" s="209">
        <v>4.4999999999999998E-2</v>
      </c>
      <c r="E222" s="210" t="s">
        <v>164</v>
      </c>
      <c r="F222" s="135">
        <v>65</v>
      </c>
    </row>
    <row r="223" spans="1:6" ht="15.75" thickTop="1" thickBot="1">
      <c r="A223" s="150" t="s">
        <v>216</v>
      </c>
      <c r="B223" s="284" t="s">
        <v>177</v>
      </c>
      <c r="C223" s="285" t="s">
        <v>163</v>
      </c>
      <c r="D223" s="136" t="s">
        <v>132</v>
      </c>
      <c r="E223" s="137" t="s">
        <v>38</v>
      </c>
      <c r="F223" s="293">
        <v>68</v>
      </c>
    </row>
    <row r="224" spans="1:6" ht="15.75" hidden="1" thickTop="1" thickBot="1">
      <c r="A224" s="150" t="s">
        <v>216</v>
      </c>
      <c r="B224" s="284" t="s">
        <v>177</v>
      </c>
      <c r="C224" s="285" t="s">
        <v>167</v>
      </c>
      <c r="D224" s="229"/>
      <c r="E224" s="235"/>
      <c r="F224" s="223"/>
    </row>
    <row r="225" spans="1:6" ht="15.75" hidden="1" thickTop="1" thickBot="1">
      <c r="A225" s="150" t="s">
        <v>216</v>
      </c>
      <c r="B225" s="284" t="s">
        <v>177</v>
      </c>
      <c r="C225" s="285" t="s">
        <v>167</v>
      </c>
      <c r="D225" s="237"/>
      <c r="E225" s="236"/>
      <c r="F225" s="226"/>
    </row>
    <row r="226" spans="1:6" ht="15.75" hidden="1" thickTop="1" thickBot="1">
      <c r="A226" s="150" t="s">
        <v>216</v>
      </c>
      <c r="B226" s="284" t="s">
        <v>177</v>
      </c>
      <c r="C226" s="285" t="s">
        <v>167</v>
      </c>
      <c r="D226" s="237"/>
      <c r="E226" s="236"/>
      <c r="F226" s="226"/>
    </row>
    <row r="227" spans="1:6" ht="15.75" hidden="1" thickTop="1" thickBot="1">
      <c r="A227" s="150" t="s">
        <v>216</v>
      </c>
      <c r="B227" s="284" t="s">
        <v>177</v>
      </c>
      <c r="C227" s="285" t="s">
        <v>167</v>
      </c>
      <c r="D227" s="237"/>
      <c r="E227" s="232"/>
      <c r="F227" s="226"/>
    </row>
    <row r="228" spans="1:6" ht="15.75" hidden="1" thickTop="1" thickBot="1">
      <c r="A228" s="150" t="s">
        <v>216</v>
      </c>
      <c r="B228" s="284" t="s">
        <v>177</v>
      </c>
      <c r="C228" s="285" t="s">
        <v>167</v>
      </c>
      <c r="D228" s="160"/>
      <c r="E228" s="158"/>
      <c r="F228" s="228"/>
    </row>
    <row r="229" spans="1:6" ht="15.75" hidden="1" thickTop="1" thickBot="1">
      <c r="A229" s="150" t="s">
        <v>216</v>
      </c>
      <c r="B229" s="284" t="s">
        <v>177</v>
      </c>
      <c r="C229" s="285" t="s">
        <v>203</v>
      </c>
      <c r="D229" s="229"/>
      <c r="E229" s="230"/>
      <c r="F229" s="223"/>
    </row>
    <row r="230" spans="1:6" ht="15.75" hidden="1" thickTop="1" thickBot="1">
      <c r="A230" s="150" t="s">
        <v>216</v>
      </c>
      <c r="B230" s="284" t="s">
        <v>177</v>
      </c>
      <c r="C230" s="285" t="s">
        <v>203</v>
      </c>
      <c r="D230" s="238"/>
      <c r="E230" s="239"/>
      <c r="F230" s="226"/>
    </row>
    <row r="231" spans="1:6" ht="15.75" hidden="1" thickTop="1" thickBot="1">
      <c r="A231" s="150" t="s">
        <v>216</v>
      </c>
      <c r="B231" s="284" t="s">
        <v>177</v>
      </c>
      <c r="C231" s="285" t="s">
        <v>203</v>
      </c>
      <c r="D231" s="238"/>
      <c r="E231" s="239"/>
      <c r="F231" s="226"/>
    </row>
    <row r="232" spans="1:6" ht="15.75" hidden="1" thickTop="1" thickBot="1">
      <c r="A232" s="150" t="s">
        <v>216</v>
      </c>
      <c r="B232" s="284" t="s">
        <v>177</v>
      </c>
      <c r="C232" s="285" t="s">
        <v>203</v>
      </c>
      <c r="D232" s="238"/>
      <c r="E232" s="232"/>
      <c r="F232" s="226"/>
    </row>
    <row r="233" spans="1:6" ht="15.75" hidden="1" thickTop="1" thickBot="1">
      <c r="A233" s="150" t="s">
        <v>216</v>
      </c>
      <c r="B233" s="284" t="s">
        <v>177</v>
      </c>
      <c r="C233" s="285" t="s">
        <v>203</v>
      </c>
      <c r="D233" s="160"/>
      <c r="E233" s="158"/>
      <c r="F233" s="228"/>
    </row>
    <row r="234" spans="1:6" ht="15.75" hidden="1" thickTop="1" thickBot="1">
      <c r="A234" s="150" t="s">
        <v>216</v>
      </c>
      <c r="B234" s="284" t="s">
        <v>177</v>
      </c>
      <c r="C234" s="285" t="s">
        <v>172</v>
      </c>
      <c r="D234" s="233"/>
      <c r="E234" s="234"/>
      <c r="F234" s="223"/>
    </row>
    <row r="235" spans="1:6" ht="15.75" hidden="1" thickTop="1" thickBot="1">
      <c r="A235" s="150" t="s">
        <v>216</v>
      </c>
      <c r="B235" s="284" t="s">
        <v>177</v>
      </c>
      <c r="C235" s="285" t="s">
        <v>172</v>
      </c>
      <c r="D235" s="227"/>
      <c r="E235" s="225"/>
      <c r="F235" s="226"/>
    </row>
    <row r="236" spans="1:6" ht="15.75" hidden="1" thickTop="1" thickBot="1">
      <c r="A236" s="150" t="s">
        <v>216</v>
      </c>
      <c r="B236" s="284" t="s">
        <v>177</v>
      </c>
      <c r="C236" s="285" t="s">
        <v>172</v>
      </c>
      <c r="D236" s="227"/>
      <c r="E236" s="225"/>
      <c r="F236" s="226"/>
    </row>
    <row r="237" spans="1:6" ht="15.75" hidden="1" thickTop="1" thickBot="1">
      <c r="A237" s="150" t="s">
        <v>216</v>
      </c>
      <c r="B237" s="284" t="s">
        <v>177</v>
      </c>
      <c r="C237" s="285" t="s">
        <v>172</v>
      </c>
      <c r="D237" s="227"/>
      <c r="E237" s="225"/>
      <c r="F237" s="226"/>
    </row>
    <row r="238" spans="1:6" ht="15.75" hidden="1" thickTop="1" thickBot="1">
      <c r="A238" s="150" t="s">
        <v>216</v>
      </c>
      <c r="B238" s="284" t="s">
        <v>177</v>
      </c>
      <c r="C238" s="285" t="s">
        <v>172</v>
      </c>
      <c r="D238" s="160"/>
      <c r="E238" s="158"/>
      <c r="F238" s="226"/>
    </row>
    <row r="239" spans="1:6" ht="15.75" hidden="1" thickTop="1" thickBot="1">
      <c r="A239" s="150" t="s">
        <v>216</v>
      </c>
      <c r="B239" s="284" t="s">
        <v>177</v>
      </c>
      <c r="C239" s="285" t="s">
        <v>174</v>
      </c>
      <c r="D239" s="233"/>
      <c r="E239" s="234"/>
      <c r="F239" s="223"/>
    </row>
    <row r="240" spans="1:6" ht="15.75" hidden="1" thickTop="1" thickBot="1">
      <c r="A240" s="150" t="s">
        <v>216</v>
      </c>
      <c r="B240" s="284" t="s">
        <v>177</v>
      </c>
      <c r="C240" s="285" t="s">
        <v>174</v>
      </c>
      <c r="D240" s="227"/>
      <c r="E240" s="225"/>
      <c r="F240" s="226"/>
    </row>
    <row r="241" spans="1:6" ht="15.75" hidden="1" thickTop="1" thickBot="1">
      <c r="A241" s="150" t="s">
        <v>216</v>
      </c>
      <c r="B241" s="284" t="s">
        <v>177</v>
      </c>
      <c r="C241" s="285" t="s">
        <v>174</v>
      </c>
      <c r="D241" s="227"/>
      <c r="E241" s="225"/>
      <c r="F241" s="226"/>
    </row>
    <row r="242" spans="1:6" ht="15.75" hidden="1" thickTop="1" thickBot="1">
      <c r="A242" s="150" t="s">
        <v>216</v>
      </c>
      <c r="B242" s="284" t="s">
        <v>177</v>
      </c>
      <c r="C242" s="285" t="s">
        <v>174</v>
      </c>
      <c r="D242" s="160"/>
      <c r="E242" s="158"/>
      <c r="F242" s="226"/>
    </row>
    <row r="243" spans="1:6" ht="37.5" thickTop="1" thickBot="1">
      <c r="A243" s="150" t="s">
        <v>217</v>
      </c>
      <c r="B243" s="284" t="s">
        <v>140</v>
      </c>
      <c r="C243" s="286" t="s">
        <v>123</v>
      </c>
      <c r="D243" s="203">
        <v>0</v>
      </c>
      <c r="E243" s="139">
        <v>0.65</v>
      </c>
      <c r="F243" s="132">
        <v>3</v>
      </c>
    </row>
    <row r="244" spans="1:6" ht="37.5" thickTop="1" thickBot="1">
      <c r="A244" s="150" t="s">
        <v>217</v>
      </c>
      <c r="B244" s="284" t="s">
        <v>140</v>
      </c>
      <c r="C244" s="286" t="s">
        <v>123</v>
      </c>
      <c r="D244" s="140">
        <v>0.66</v>
      </c>
      <c r="E244" s="141">
        <v>0.82</v>
      </c>
      <c r="F244" s="135">
        <v>23</v>
      </c>
    </row>
    <row r="245" spans="1:6" ht="37.5" thickTop="1" thickBot="1">
      <c r="A245" s="150" t="s">
        <v>217</v>
      </c>
      <c r="B245" s="284" t="s">
        <v>140</v>
      </c>
      <c r="C245" s="286" t="s">
        <v>123</v>
      </c>
      <c r="D245" s="140">
        <v>0.83</v>
      </c>
      <c r="E245" s="141">
        <v>0.88</v>
      </c>
      <c r="F245" s="135">
        <v>43</v>
      </c>
    </row>
    <row r="246" spans="1:6" ht="37.5" thickTop="1" thickBot="1">
      <c r="A246" s="150" t="s">
        <v>217</v>
      </c>
      <c r="B246" s="284" t="s">
        <v>140</v>
      </c>
      <c r="C246" s="286" t="s">
        <v>123</v>
      </c>
      <c r="D246" s="140">
        <v>0.89</v>
      </c>
      <c r="E246" s="141">
        <v>0.93</v>
      </c>
      <c r="F246" s="135">
        <v>62</v>
      </c>
    </row>
    <row r="247" spans="1:6" ht="37.5" thickTop="1" thickBot="1">
      <c r="A247" s="150" t="s">
        <v>217</v>
      </c>
      <c r="B247" s="284" t="s">
        <v>140</v>
      </c>
      <c r="C247" s="286" t="s">
        <v>123</v>
      </c>
      <c r="D247" s="140">
        <v>0.94</v>
      </c>
      <c r="E247" s="141">
        <v>1</v>
      </c>
      <c r="F247" s="135">
        <v>102</v>
      </c>
    </row>
    <row r="248" spans="1:6" ht="37.5" thickTop="1" thickBot="1">
      <c r="A248" s="150" t="s">
        <v>217</v>
      </c>
      <c r="B248" s="284" t="s">
        <v>140</v>
      </c>
      <c r="C248" s="286" t="s">
        <v>123</v>
      </c>
      <c r="D248" s="140" t="s">
        <v>132</v>
      </c>
      <c r="E248" s="141" t="s">
        <v>38</v>
      </c>
      <c r="F248" s="135">
        <v>98</v>
      </c>
    </row>
    <row r="249" spans="1:6" ht="37.5" hidden="1" thickTop="1" thickBot="1">
      <c r="A249" s="150" t="s">
        <v>217</v>
      </c>
      <c r="B249" s="284" t="s">
        <v>140</v>
      </c>
      <c r="C249" s="286" t="s">
        <v>123</v>
      </c>
      <c r="D249" s="152"/>
      <c r="E249" s="153"/>
      <c r="F249" s="154"/>
    </row>
    <row r="250" spans="1:6" ht="37.5" thickTop="1" thickBot="1">
      <c r="A250" s="150" t="s">
        <v>217</v>
      </c>
      <c r="B250" s="284" t="s">
        <v>140</v>
      </c>
      <c r="C250" s="288" t="s">
        <v>125</v>
      </c>
      <c r="D250" s="203">
        <v>0</v>
      </c>
      <c r="E250" s="139">
        <v>0.88</v>
      </c>
      <c r="F250" s="132">
        <v>52</v>
      </c>
    </row>
    <row r="251" spans="1:6" ht="37.5" thickTop="1" thickBot="1">
      <c r="A251" s="150" t="s">
        <v>217</v>
      </c>
      <c r="B251" s="284" t="s">
        <v>140</v>
      </c>
      <c r="C251" s="288" t="s">
        <v>125</v>
      </c>
      <c r="D251" s="140">
        <v>0.89</v>
      </c>
      <c r="E251" s="141">
        <v>0.98</v>
      </c>
      <c r="F251" s="135">
        <v>78</v>
      </c>
    </row>
    <row r="252" spans="1:6" ht="37.5" thickTop="1" thickBot="1">
      <c r="A252" s="150" t="s">
        <v>217</v>
      </c>
      <c r="B252" s="284" t="s">
        <v>140</v>
      </c>
      <c r="C252" s="288" t="s">
        <v>125</v>
      </c>
      <c r="D252" s="140">
        <v>0.99</v>
      </c>
      <c r="E252" s="141">
        <v>1</v>
      </c>
      <c r="F252" s="135">
        <v>103</v>
      </c>
    </row>
    <row r="253" spans="1:6" ht="37.5" thickTop="1" thickBot="1">
      <c r="A253" s="150" t="s">
        <v>217</v>
      </c>
      <c r="B253" s="284" t="s">
        <v>140</v>
      </c>
      <c r="C253" s="288" t="s">
        <v>125</v>
      </c>
      <c r="D253" s="140" t="s">
        <v>132</v>
      </c>
      <c r="E253" s="141" t="s">
        <v>38</v>
      </c>
      <c r="F253" s="135">
        <v>89</v>
      </c>
    </row>
    <row r="254" spans="1:6" ht="37.5" hidden="1" thickTop="1" thickBot="1">
      <c r="A254" s="150" t="s">
        <v>217</v>
      </c>
      <c r="B254" s="284" t="s">
        <v>140</v>
      </c>
      <c r="C254" s="288" t="s">
        <v>125</v>
      </c>
      <c r="D254" s="152"/>
      <c r="E254" s="153"/>
      <c r="F254" s="154"/>
    </row>
    <row r="255" spans="1:6" ht="37.5" thickTop="1" thickBot="1">
      <c r="A255" s="150" t="s">
        <v>217</v>
      </c>
      <c r="B255" s="284" t="s">
        <v>142</v>
      </c>
      <c r="C255" s="288" t="s">
        <v>143</v>
      </c>
      <c r="D255" s="206">
        <v>0</v>
      </c>
      <c r="E255" s="131"/>
      <c r="F255" s="132">
        <v>98</v>
      </c>
    </row>
    <row r="256" spans="1:6" ht="37.5" thickTop="1" thickBot="1">
      <c r="A256" s="150" t="s">
        <v>217</v>
      </c>
      <c r="B256" s="284" t="s">
        <v>142</v>
      </c>
      <c r="C256" s="288" t="s">
        <v>143</v>
      </c>
      <c r="D256" s="133">
        <v>1</v>
      </c>
      <c r="E256" s="134"/>
      <c r="F256" s="135">
        <v>39</v>
      </c>
    </row>
    <row r="257" spans="1:6" ht="37.5" thickTop="1" thickBot="1">
      <c r="A257" s="150" t="s">
        <v>217</v>
      </c>
      <c r="B257" s="284" t="s">
        <v>142</v>
      </c>
      <c r="C257" s="288" t="s">
        <v>143</v>
      </c>
      <c r="D257" s="155">
        <v>2</v>
      </c>
      <c r="E257" s="157"/>
      <c r="F257" s="135">
        <v>11</v>
      </c>
    </row>
    <row r="258" spans="1:6" ht="37.5" thickTop="1" thickBot="1">
      <c r="A258" s="150" t="s">
        <v>217</v>
      </c>
      <c r="B258" s="284" t="s">
        <v>142</v>
      </c>
      <c r="C258" s="288" t="s">
        <v>143</v>
      </c>
      <c r="D258" s="155">
        <v>3</v>
      </c>
      <c r="E258" s="157" t="s">
        <v>129</v>
      </c>
      <c r="F258" s="135">
        <v>-43</v>
      </c>
    </row>
    <row r="259" spans="1:6" ht="37.5" thickTop="1" thickBot="1">
      <c r="A259" s="150" t="s">
        <v>217</v>
      </c>
      <c r="B259" s="284" t="s">
        <v>142</v>
      </c>
      <c r="C259" s="288" t="s">
        <v>143</v>
      </c>
      <c r="D259" s="136" t="s">
        <v>132</v>
      </c>
      <c r="E259" s="137" t="s">
        <v>38</v>
      </c>
      <c r="F259" s="156">
        <v>69</v>
      </c>
    </row>
    <row r="260" spans="1:6" ht="37.5" thickTop="1" thickBot="1">
      <c r="A260" s="150" t="s">
        <v>217</v>
      </c>
      <c r="B260" s="284" t="s">
        <v>142</v>
      </c>
      <c r="C260" s="288" t="s">
        <v>144</v>
      </c>
      <c r="D260" s="138">
        <v>0</v>
      </c>
      <c r="E260" s="139">
        <v>0.56000000000000005</v>
      </c>
      <c r="F260" s="132">
        <v>33</v>
      </c>
    </row>
    <row r="261" spans="1:6" ht="37.5" thickTop="1" thickBot="1">
      <c r="A261" s="150" t="s">
        <v>217</v>
      </c>
      <c r="B261" s="284" t="s">
        <v>142</v>
      </c>
      <c r="C261" s="288" t="s">
        <v>144</v>
      </c>
      <c r="D261" s="140">
        <v>0.56000000000000005</v>
      </c>
      <c r="E261" s="141">
        <v>0.93</v>
      </c>
      <c r="F261" s="135">
        <v>54</v>
      </c>
    </row>
    <row r="262" spans="1:6" ht="37.5" thickTop="1" thickBot="1">
      <c r="A262" s="150" t="s">
        <v>217</v>
      </c>
      <c r="B262" s="284" t="s">
        <v>142</v>
      </c>
      <c r="C262" s="288" t="s">
        <v>144</v>
      </c>
      <c r="D262" s="140">
        <v>0.93</v>
      </c>
      <c r="E262" s="141">
        <v>1</v>
      </c>
      <c r="F262" s="135">
        <v>64</v>
      </c>
    </row>
    <row r="263" spans="1:6" ht="37.5" thickTop="1" thickBot="1">
      <c r="A263" s="150" t="s">
        <v>217</v>
      </c>
      <c r="B263" s="284" t="s">
        <v>142</v>
      </c>
      <c r="C263" s="288" t="s">
        <v>144</v>
      </c>
      <c r="D263" s="140">
        <v>1</v>
      </c>
      <c r="E263" s="141" t="s">
        <v>141</v>
      </c>
      <c r="F263" s="135">
        <v>92</v>
      </c>
    </row>
    <row r="264" spans="1:6" ht="37.5" thickTop="1" thickBot="1">
      <c r="A264" s="150" t="s">
        <v>217</v>
      </c>
      <c r="B264" s="284" t="s">
        <v>142</v>
      </c>
      <c r="C264" s="288" t="s">
        <v>144</v>
      </c>
      <c r="D264" s="140" t="s">
        <v>132</v>
      </c>
      <c r="E264" s="141" t="s">
        <v>38</v>
      </c>
      <c r="F264" s="135">
        <v>78</v>
      </c>
    </row>
    <row r="265" spans="1:6" ht="37.5" hidden="1" thickTop="1" thickBot="1">
      <c r="A265" s="150" t="s">
        <v>217</v>
      </c>
      <c r="B265" s="284" t="s">
        <v>142</v>
      </c>
      <c r="C265" s="288" t="s">
        <v>144</v>
      </c>
      <c r="D265" s="160"/>
      <c r="E265" s="158"/>
      <c r="F265" s="159"/>
    </row>
    <row r="266" spans="1:6" ht="15.75" hidden="1" thickTop="1" thickBot="1">
      <c r="A266" s="150" t="s">
        <v>217</v>
      </c>
      <c r="B266" s="284" t="s">
        <v>177</v>
      </c>
      <c r="C266" s="288" t="s">
        <v>146</v>
      </c>
      <c r="D266" s="221"/>
      <c r="E266" s="222"/>
      <c r="F266" s="223"/>
    </row>
    <row r="267" spans="1:6" ht="15.75" hidden="1" thickTop="1" thickBot="1">
      <c r="A267" s="150" t="s">
        <v>217</v>
      </c>
      <c r="B267" s="284" t="s">
        <v>177</v>
      </c>
      <c r="C267" s="288" t="s">
        <v>146</v>
      </c>
      <c r="D267" s="224"/>
      <c r="E267" s="225"/>
      <c r="F267" s="226"/>
    </row>
    <row r="268" spans="1:6" ht="15.75" hidden="1" thickTop="1" thickBot="1">
      <c r="A268" s="150" t="s">
        <v>217</v>
      </c>
      <c r="B268" s="284" t="s">
        <v>177</v>
      </c>
      <c r="C268" s="288" t="s">
        <v>146</v>
      </c>
      <c r="D268" s="227"/>
      <c r="E268" s="225"/>
      <c r="F268" s="226"/>
    </row>
    <row r="269" spans="1:6" ht="15.75" hidden="1" thickTop="1" thickBot="1">
      <c r="A269" s="150" t="s">
        <v>217</v>
      </c>
      <c r="B269" s="284" t="s">
        <v>177</v>
      </c>
      <c r="C269" s="288" t="s">
        <v>146</v>
      </c>
      <c r="D269" s="227"/>
      <c r="E269" s="225"/>
      <c r="F269" s="226"/>
    </row>
    <row r="270" spans="1:6" ht="15.75" hidden="1" thickTop="1" thickBot="1">
      <c r="A270" s="150" t="s">
        <v>217</v>
      </c>
      <c r="B270" s="284" t="s">
        <v>177</v>
      </c>
      <c r="C270" s="288" t="s">
        <v>146</v>
      </c>
      <c r="D270" s="227"/>
      <c r="E270" s="225"/>
      <c r="F270" s="226"/>
    </row>
    <row r="271" spans="1:6" ht="15.75" hidden="1" thickTop="1" thickBot="1">
      <c r="A271" s="150" t="s">
        <v>217</v>
      </c>
      <c r="B271" s="284" t="s">
        <v>177</v>
      </c>
      <c r="C271" s="288" t="s">
        <v>146</v>
      </c>
      <c r="D271" s="160"/>
      <c r="E271" s="158"/>
      <c r="F271" s="228"/>
    </row>
    <row r="272" spans="1:6" ht="15.75" hidden="1" thickTop="1" thickBot="1">
      <c r="A272" s="150" t="s">
        <v>217</v>
      </c>
      <c r="B272" s="284" t="s">
        <v>177</v>
      </c>
      <c r="C272" s="289" t="s">
        <v>150</v>
      </c>
      <c r="D272" s="229"/>
      <c r="E272" s="230"/>
      <c r="F272" s="223"/>
    </row>
    <row r="273" spans="1:6" ht="15.75" hidden="1" thickTop="1" thickBot="1">
      <c r="A273" s="150" t="s">
        <v>217</v>
      </c>
      <c r="B273" s="284" t="s">
        <v>177</v>
      </c>
      <c r="C273" s="289" t="s">
        <v>150</v>
      </c>
      <c r="D273" s="231"/>
      <c r="E273" s="232"/>
      <c r="F273" s="226"/>
    </row>
    <row r="274" spans="1:6" ht="15.75" hidden="1" thickTop="1" thickBot="1">
      <c r="A274" s="150" t="s">
        <v>217</v>
      </c>
      <c r="B274" s="284" t="s">
        <v>177</v>
      </c>
      <c r="C274" s="289" t="s">
        <v>150</v>
      </c>
      <c r="D274" s="231"/>
      <c r="E274" s="232"/>
      <c r="F274" s="226"/>
    </row>
    <row r="275" spans="1:6" ht="15.75" hidden="1" thickTop="1" thickBot="1">
      <c r="A275" s="150" t="s">
        <v>217</v>
      </c>
      <c r="B275" s="284" t="s">
        <v>177</v>
      </c>
      <c r="C275" s="289" t="s">
        <v>150</v>
      </c>
      <c r="D275" s="160"/>
      <c r="E275" s="158"/>
      <c r="F275" s="228"/>
    </row>
    <row r="276" spans="1:6" ht="15.75" thickTop="1" thickBot="1">
      <c r="A276" s="150" t="s">
        <v>217</v>
      </c>
      <c r="B276" s="284" t="s">
        <v>177</v>
      </c>
      <c r="C276" s="289" t="s">
        <v>152</v>
      </c>
      <c r="D276" s="214">
        <v>-1</v>
      </c>
      <c r="E276" s="215">
        <v>3.0000000000000001E-3</v>
      </c>
      <c r="F276" s="132">
        <v>81</v>
      </c>
    </row>
    <row r="277" spans="1:6" ht="15.75" thickTop="1" thickBot="1">
      <c r="A277" s="150" t="s">
        <v>217</v>
      </c>
      <c r="B277" s="284" t="s">
        <v>177</v>
      </c>
      <c r="C277" s="289" t="s">
        <v>152</v>
      </c>
      <c r="D277" s="209">
        <v>3.0000000000000001E-3</v>
      </c>
      <c r="E277" s="210">
        <v>1.6E-2</v>
      </c>
      <c r="F277" s="135">
        <v>98</v>
      </c>
    </row>
    <row r="278" spans="1:6" ht="15.75" thickTop="1" thickBot="1">
      <c r="A278" s="150" t="s">
        <v>217</v>
      </c>
      <c r="B278" s="284" t="s">
        <v>177</v>
      </c>
      <c r="C278" s="289" t="s">
        <v>152</v>
      </c>
      <c r="D278" s="209">
        <v>1.6E-2</v>
      </c>
      <c r="E278" s="210" t="s">
        <v>171</v>
      </c>
      <c r="F278" s="135">
        <v>108</v>
      </c>
    </row>
    <row r="279" spans="1:6" ht="15.75" thickTop="1" thickBot="1">
      <c r="A279" s="150" t="s">
        <v>217</v>
      </c>
      <c r="B279" s="284" t="s">
        <v>177</v>
      </c>
      <c r="C279" s="289" t="s">
        <v>152</v>
      </c>
      <c r="D279" s="136" t="s">
        <v>132</v>
      </c>
      <c r="E279" s="137" t="s">
        <v>38</v>
      </c>
      <c r="F279" s="207">
        <v>61</v>
      </c>
    </row>
    <row r="280" spans="1:6" ht="15.75" hidden="1" thickTop="1" thickBot="1">
      <c r="A280" s="150" t="s">
        <v>217</v>
      </c>
      <c r="B280" s="284" t="s">
        <v>177</v>
      </c>
      <c r="C280" s="285" t="s">
        <v>154</v>
      </c>
      <c r="D280" s="229"/>
      <c r="E280" s="235"/>
      <c r="F280" s="223"/>
    </row>
    <row r="281" spans="1:6" ht="15.75" hidden="1" thickTop="1" thickBot="1">
      <c r="A281" s="150" t="s">
        <v>217</v>
      </c>
      <c r="B281" s="284" t="s">
        <v>177</v>
      </c>
      <c r="C281" s="285" t="s">
        <v>154</v>
      </c>
      <c r="D281" s="231"/>
      <c r="E281" s="236"/>
      <c r="F281" s="226"/>
    </row>
    <row r="282" spans="1:6" ht="15.75" hidden="1" thickTop="1" thickBot="1">
      <c r="A282" s="150" t="s">
        <v>217</v>
      </c>
      <c r="B282" s="284" t="s">
        <v>177</v>
      </c>
      <c r="C282" s="285" t="s">
        <v>154</v>
      </c>
      <c r="D282" s="237"/>
      <c r="E282" s="236"/>
      <c r="F282" s="226"/>
    </row>
    <row r="283" spans="1:6" ht="15.75" hidden="1" thickTop="1" thickBot="1">
      <c r="A283" s="150" t="s">
        <v>217</v>
      </c>
      <c r="B283" s="284" t="s">
        <v>177</v>
      </c>
      <c r="C283" s="285" t="s">
        <v>154</v>
      </c>
      <c r="D283" s="237"/>
      <c r="E283" s="232"/>
      <c r="F283" s="226"/>
    </row>
    <row r="284" spans="1:6" ht="15.75" hidden="1" thickTop="1" thickBot="1">
      <c r="A284" s="150" t="s">
        <v>217</v>
      </c>
      <c r="B284" s="284" t="s">
        <v>177</v>
      </c>
      <c r="C284" s="285" t="s">
        <v>154</v>
      </c>
      <c r="D284" s="160"/>
      <c r="E284" s="158"/>
      <c r="F284" s="228"/>
    </row>
    <row r="285" spans="1:6" ht="15.75" hidden="1" thickTop="1" thickBot="1">
      <c r="A285" s="150" t="s">
        <v>217</v>
      </c>
      <c r="B285" s="284" t="s">
        <v>177</v>
      </c>
      <c r="C285" s="285" t="s">
        <v>156</v>
      </c>
      <c r="D285" s="233"/>
      <c r="E285" s="234"/>
      <c r="F285" s="223"/>
    </row>
    <row r="286" spans="1:6" ht="15.75" hidden="1" thickTop="1" thickBot="1">
      <c r="A286" s="150" t="s">
        <v>217</v>
      </c>
      <c r="B286" s="284" t="s">
        <v>177</v>
      </c>
      <c r="C286" s="285" t="s">
        <v>156</v>
      </c>
      <c r="D286" s="227"/>
      <c r="E286" s="225"/>
      <c r="F286" s="226"/>
    </row>
    <row r="287" spans="1:6" ht="15.75" hidden="1" thickTop="1" thickBot="1">
      <c r="A287" s="150" t="s">
        <v>217</v>
      </c>
      <c r="B287" s="284" t="s">
        <v>177</v>
      </c>
      <c r="C287" s="285" t="s">
        <v>156</v>
      </c>
      <c r="D287" s="227"/>
      <c r="E287" s="225"/>
      <c r="F287" s="226"/>
    </row>
    <row r="288" spans="1:6" ht="15.75" hidden="1" thickTop="1" thickBot="1">
      <c r="A288" s="150" t="s">
        <v>217</v>
      </c>
      <c r="B288" s="284" t="s">
        <v>177</v>
      </c>
      <c r="C288" s="285" t="s">
        <v>156</v>
      </c>
      <c r="D288" s="227"/>
      <c r="E288" s="225"/>
      <c r="F288" s="226"/>
    </row>
    <row r="289" spans="1:6" ht="15.75" hidden="1" thickTop="1" thickBot="1">
      <c r="A289" s="150" t="s">
        <v>217</v>
      </c>
      <c r="B289" s="284" t="s">
        <v>177</v>
      </c>
      <c r="C289" s="285" t="s">
        <v>156</v>
      </c>
      <c r="D289" s="160"/>
      <c r="E289" s="158"/>
      <c r="F289" s="228"/>
    </row>
    <row r="290" spans="1:6" ht="15.75" hidden="1" thickTop="1" thickBot="1">
      <c r="A290" s="150" t="s">
        <v>217</v>
      </c>
      <c r="B290" s="284" t="s">
        <v>177</v>
      </c>
      <c r="C290" s="285" t="s">
        <v>158</v>
      </c>
      <c r="D290" s="229"/>
      <c r="E290" s="235"/>
      <c r="F290" s="223"/>
    </row>
    <row r="291" spans="1:6" ht="15.75" hidden="1" thickTop="1" thickBot="1">
      <c r="A291" s="150" t="s">
        <v>217</v>
      </c>
      <c r="B291" s="284" t="s">
        <v>177</v>
      </c>
      <c r="C291" s="285" t="s">
        <v>158</v>
      </c>
      <c r="D291" s="231"/>
      <c r="E291" s="236"/>
      <c r="F291" s="226"/>
    </row>
    <row r="292" spans="1:6" ht="15.75" hidden="1" thickTop="1" thickBot="1">
      <c r="A292" s="150" t="s">
        <v>217</v>
      </c>
      <c r="B292" s="284" t="s">
        <v>177</v>
      </c>
      <c r="C292" s="285" t="s">
        <v>158</v>
      </c>
      <c r="D292" s="237"/>
      <c r="E292" s="232"/>
      <c r="F292" s="226"/>
    </row>
    <row r="293" spans="1:6" ht="15.75" hidden="1" thickTop="1" thickBot="1">
      <c r="A293" s="150" t="s">
        <v>217</v>
      </c>
      <c r="B293" s="284" t="s">
        <v>177</v>
      </c>
      <c r="C293" s="285" t="s">
        <v>158</v>
      </c>
      <c r="D293" s="160"/>
      <c r="E293" s="158"/>
      <c r="F293" s="228"/>
    </row>
    <row r="294" spans="1:6" ht="15.75" hidden="1" thickTop="1" thickBot="1">
      <c r="A294" s="150" t="s">
        <v>217</v>
      </c>
      <c r="B294" s="284" t="s">
        <v>177</v>
      </c>
      <c r="C294" s="285" t="s">
        <v>161</v>
      </c>
      <c r="D294" s="229"/>
      <c r="E294" s="235"/>
      <c r="F294" s="223"/>
    </row>
    <row r="295" spans="1:6" ht="15.75" hidden="1" thickTop="1" thickBot="1">
      <c r="A295" s="150" t="s">
        <v>217</v>
      </c>
      <c r="B295" s="284" t="s">
        <v>177</v>
      </c>
      <c r="C295" s="285" t="s">
        <v>161</v>
      </c>
      <c r="D295" s="237"/>
      <c r="E295" s="236"/>
      <c r="F295" s="226"/>
    </row>
    <row r="296" spans="1:6" ht="15.75" hidden="1" thickTop="1" thickBot="1">
      <c r="A296" s="150" t="s">
        <v>217</v>
      </c>
      <c r="B296" s="284" t="s">
        <v>177</v>
      </c>
      <c r="C296" s="285" t="s">
        <v>161</v>
      </c>
      <c r="D296" s="237"/>
      <c r="E296" s="236"/>
      <c r="F296" s="226"/>
    </row>
    <row r="297" spans="1:6" ht="15.75" hidden="1" thickTop="1" thickBot="1">
      <c r="A297" s="150" t="s">
        <v>217</v>
      </c>
      <c r="B297" s="284" t="s">
        <v>177</v>
      </c>
      <c r="C297" s="285" t="s">
        <v>161</v>
      </c>
      <c r="D297" s="237"/>
      <c r="E297" s="232"/>
      <c r="F297" s="226"/>
    </row>
    <row r="298" spans="1:6" ht="15.75" hidden="1" thickTop="1" thickBot="1">
      <c r="A298" s="150" t="s">
        <v>217</v>
      </c>
      <c r="B298" s="284" t="s">
        <v>177</v>
      </c>
      <c r="C298" s="285" t="s">
        <v>161</v>
      </c>
      <c r="D298" s="160"/>
      <c r="E298" s="158"/>
      <c r="F298" s="228"/>
    </row>
    <row r="299" spans="1:6" ht="15.75" thickTop="1" thickBot="1">
      <c r="A299" s="150" t="s">
        <v>217</v>
      </c>
      <c r="B299" s="284" t="s">
        <v>177</v>
      </c>
      <c r="C299" s="285" t="s">
        <v>163</v>
      </c>
      <c r="D299" s="214">
        <v>-1</v>
      </c>
      <c r="E299" s="215">
        <v>1.4E-2</v>
      </c>
      <c r="F299" s="132">
        <v>96</v>
      </c>
    </row>
    <row r="300" spans="1:6" ht="15.75" thickTop="1" thickBot="1">
      <c r="A300" s="150" t="s">
        <v>217</v>
      </c>
      <c r="B300" s="284" t="s">
        <v>177</v>
      </c>
      <c r="C300" s="285" t="s">
        <v>163</v>
      </c>
      <c r="D300" s="209">
        <v>1.4E-2</v>
      </c>
      <c r="E300" s="210">
        <v>4.8000000000000001E-2</v>
      </c>
      <c r="F300" s="135">
        <v>91</v>
      </c>
    </row>
    <row r="301" spans="1:6" ht="15.75" thickTop="1" thickBot="1">
      <c r="A301" s="150" t="s">
        <v>217</v>
      </c>
      <c r="B301" s="284" t="s">
        <v>177</v>
      </c>
      <c r="C301" s="285" t="s">
        <v>163</v>
      </c>
      <c r="D301" s="209">
        <v>4.8000000000000001E-2</v>
      </c>
      <c r="E301" s="210" t="s">
        <v>169</v>
      </c>
      <c r="F301" s="135">
        <v>85</v>
      </c>
    </row>
    <row r="302" spans="1:6" ht="15.75" thickTop="1" thickBot="1">
      <c r="A302" s="150" t="s">
        <v>217</v>
      </c>
      <c r="B302" s="284" t="s">
        <v>177</v>
      </c>
      <c r="C302" s="285" t="s">
        <v>163</v>
      </c>
      <c r="D302" s="209" t="s">
        <v>132</v>
      </c>
      <c r="E302" s="210" t="s">
        <v>38</v>
      </c>
      <c r="F302" s="135">
        <v>83</v>
      </c>
    </row>
    <row r="303" spans="1:6" ht="15.75" hidden="1" thickTop="1" thickBot="1">
      <c r="A303" s="150" t="s">
        <v>217</v>
      </c>
      <c r="B303" s="284" t="s">
        <v>177</v>
      </c>
      <c r="C303" s="285" t="s">
        <v>163</v>
      </c>
      <c r="D303" s="160"/>
      <c r="E303" s="158"/>
      <c r="F303" s="228"/>
    </row>
    <row r="304" spans="1:6" ht="15.75" thickTop="1" thickBot="1">
      <c r="A304" s="150" t="s">
        <v>217</v>
      </c>
      <c r="B304" s="284" t="s">
        <v>177</v>
      </c>
      <c r="C304" s="285" t="s">
        <v>167</v>
      </c>
      <c r="D304" s="295">
        <v>0</v>
      </c>
      <c r="E304" s="211">
        <v>0.93</v>
      </c>
      <c r="F304" s="132">
        <v>78</v>
      </c>
    </row>
    <row r="305" spans="1:6" ht="15.75" thickTop="1" thickBot="1">
      <c r="A305" s="150" t="s">
        <v>217</v>
      </c>
      <c r="B305" s="284" t="s">
        <v>177</v>
      </c>
      <c r="C305" s="285" t="s">
        <v>167</v>
      </c>
      <c r="D305" s="217">
        <v>0.93</v>
      </c>
      <c r="E305" s="216">
        <v>1.28</v>
      </c>
      <c r="F305" s="135">
        <v>82</v>
      </c>
    </row>
    <row r="306" spans="1:6" ht="15.75" thickTop="1" thickBot="1">
      <c r="A306" s="150" t="s">
        <v>217</v>
      </c>
      <c r="B306" s="284" t="s">
        <v>177</v>
      </c>
      <c r="C306" s="285" t="s">
        <v>167</v>
      </c>
      <c r="D306" s="217">
        <v>1.28</v>
      </c>
      <c r="E306" s="216">
        <v>1.57</v>
      </c>
      <c r="F306" s="135">
        <v>102</v>
      </c>
    </row>
    <row r="307" spans="1:6" ht="15.75" thickTop="1" thickBot="1">
      <c r="A307" s="150" t="s">
        <v>217</v>
      </c>
      <c r="B307" s="284" t="s">
        <v>177</v>
      </c>
      <c r="C307" s="285" t="s">
        <v>167</v>
      </c>
      <c r="D307" s="217">
        <v>1.57</v>
      </c>
      <c r="E307" s="157" t="s">
        <v>168</v>
      </c>
      <c r="F307" s="135">
        <v>114</v>
      </c>
    </row>
    <row r="308" spans="1:6" ht="15.75" thickTop="1" thickBot="1">
      <c r="A308" s="150" t="s">
        <v>217</v>
      </c>
      <c r="B308" s="284" t="s">
        <v>177</v>
      </c>
      <c r="C308" s="285" t="s">
        <v>167</v>
      </c>
      <c r="D308" s="136" t="s">
        <v>132</v>
      </c>
      <c r="E308" s="137" t="s">
        <v>38</v>
      </c>
      <c r="F308" s="293">
        <v>54</v>
      </c>
    </row>
    <row r="309" spans="1:6" ht="15.75" thickTop="1" thickBot="1">
      <c r="A309" s="150" t="s">
        <v>217</v>
      </c>
      <c r="B309" s="284" t="s">
        <v>177</v>
      </c>
      <c r="C309" s="285" t="s">
        <v>203</v>
      </c>
      <c r="D309" s="212">
        <v>0</v>
      </c>
      <c r="E309" s="213">
        <v>100</v>
      </c>
      <c r="F309" s="132">
        <v>97</v>
      </c>
    </row>
    <row r="310" spans="1:6" ht="15.75" thickTop="1" thickBot="1">
      <c r="A310" s="150" t="s">
        <v>217</v>
      </c>
      <c r="B310" s="284" t="s">
        <v>177</v>
      </c>
      <c r="C310" s="285" t="s">
        <v>203</v>
      </c>
      <c r="D310" s="218">
        <v>100</v>
      </c>
      <c r="E310" s="219">
        <v>215</v>
      </c>
      <c r="F310" s="135">
        <v>92</v>
      </c>
    </row>
    <row r="311" spans="1:6" ht="15.75" thickTop="1" thickBot="1">
      <c r="A311" s="150" t="s">
        <v>217</v>
      </c>
      <c r="B311" s="284" t="s">
        <v>177</v>
      </c>
      <c r="C311" s="285" t="s">
        <v>203</v>
      </c>
      <c r="D311" s="218">
        <v>215</v>
      </c>
      <c r="E311" s="219">
        <v>431</v>
      </c>
      <c r="F311" s="135">
        <v>88</v>
      </c>
    </row>
    <row r="312" spans="1:6" ht="15.75" thickTop="1" thickBot="1">
      <c r="A312" s="150" t="s">
        <v>217</v>
      </c>
      <c r="B312" s="284" t="s">
        <v>177</v>
      </c>
      <c r="C312" s="285" t="s">
        <v>203</v>
      </c>
      <c r="D312" s="218">
        <v>431</v>
      </c>
      <c r="E312" s="157" t="s">
        <v>170</v>
      </c>
      <c r="F312" s="135">
        <v>79</v>
      </c>
    </row>
    <row r="313" spans="1:6" ht="15.75" thickTop="1" thickBot="1">
      <c r="A313" s="150" t="s">
        <v>217</v>
      </c>
      <c r="B313" s="284" t="s">
        <v>177</v>
      </c>
      <c r="C313" s="285" t="s">
        <v>203</v>
      </c>
      <c r="D313" s="136" t="s">
        <v>132</v>
      </c>
      <c r="E313" s="137" t="s">
        <v>38</v>
      </c>
      <c r="F313" s="207">
        <v>76</v>
      </c>
    </row>
    <row r="314" spans="1:6" ht="15.75" hidden="1" thickTop="1" thickBot="1">
      <c r="A314" s="150" t="s">
        <v>217</v>
      </c>
      <c r="B314" s="284" t="s">
        <v>177</v>
      </c>
      <c r="C314" s="285" t="s">
        <v>172</v>
      </c>
      <c r="D314" s="233"/>
      <c r="E314" s="234"/>
      <c r="F314" s="223"/>
    </row>
    <row r="315" spans="1:6" ht="15.75" hidden="1" thickTop="1" thickBot="1">
      <c r="A315" s="150" t="s">
        <v>217</v>
      </c>
      <c r="B315" s="284" t="s">
        <v>177</v>
      </c>
      <c r="C315" s="285" t="s">
        <v>172</v>
      </c>
      <c r="D315" s="227"/>
      <c r="E315" s="225"/>
      <c r="F315" s="226"/>
    </row>
    <row r="316" spans="1:6" ht="15.75" hidden="1" thickTop="1" thickBot="1">
      <c r="A316" s="150" t="s">
        <v>217</v>
      </c>
      <c r="B316" s="284" t="s">
        <v>177</v>
      </c>
      <c r="C316" s="285" t="s">
        <v>172</v>
      </c>
      <c r="D316" s="227"/>
      <c r="E316" s="225"/>
      <c r="F316" s="226"/>
    </row>
    <row r="317" spans="1:6" ht="15.75" hidden="1" thickTop="1" thickBot="1">
      <c r="A317" s="150" t="s">
        <v>217</v>
      </c>
      <c r="B317" s="284" t="s">
        <v>177</v>
      </c>
      <c r="C317" s="285" t="s">
        <v>172</v>
      </c>
      <c r="D317" s="227"/>
      <c r="E317" s="225"/>
      <c r="F317" s="226"/>
    </row>
    <row r="318" spans="1:6" ht="15.75" hidden="1" thickTop="1" thickBot="1">
      <c r="A318" s="150" t="s">
        <v>217</v>
      </c>
      <c r="B318" s="284" t="s">
        <v>177</v>
      </c>
      <c r="C318" s="285" t="s">
        <v>172</v>
      </c>
      <c r="D318" s="160"/>
      <c r="E318" s="158"/>
      <c r="F318" s="226"/>
    </row>
    <row r="319" spans="1:6" ht="15.75" hidden="1" thickTop="1" thickBot="1">
      <c r="A319" s="150" t="s">
        <v>217</v>
      </c>
      <c r="B319" s="284" t="s">
        <v>177</v>
      </c>
      <c r="C319" s="285" t="s">
        <v>174</v>
      </c>
      <c r="D319" s="233"/>
      <c r="E319" s="234"/>
      <c r="F319" s="223"/>
    </row>
    <row r="320" spans="1:6" ht="15.75" hidden="1" thickTop="1" thickBot="1">
      <c r="A320" s="150" t="s">
        <v>217</v>
      </c>
      <c r="B320" s="284" t="s">
        <v>177</v>
      </c>
      <c r="C320" s="285" t="s">
        <v>174</v>
      </c>
      <c r="D320" s="227"/>
      <c r="E320" s="225"/>
      <c r="F320" s="226"/>
    </row>
    <row r="321" spans="1:6" ht="15.75" hidden="1" thickTop="1" thickBot="1">
      <c r="A321" s="150" t="s">
        <v>217</v>
      </c>
      <c r="B321" s="284" t="s">
        <v>177</v>
      </c>
      <c r="C321" s="285" t="s">
        <v>174</v>
      </c>
      <c r="D321" s="227"/>
      <c r="E321" s="225"/>
      <c r="F321" s="226"/>
    </row>
    <row r="322" spans="1:6" ht="15.75" hidden="1" thickTop="1" thickBot="1">
      <c r="A322" s="150" t="s">
        <v>217</v>
      </c>
      <c r="B322" s="284" t="s">
        <v>177</v>
      </c>
      <c r="C322" s="285" t="s">
        <v>174</v>
      </c>
      <c r="D322" s="160"/>
      <c r="E322" s="158"/>
      <c r="F322" s="226"/>
    </row>
    <row r="323" spans="1:6" ht="37.5" thickTop="1" thickBot="1">
      <c r="A323" s="150" t="s">
        <v>218</v>
      </c>
      <c r="B323" s="284" t="s">
        <v>140</v>
      </c>
      <c r="C323" s="286" t="s">
        <v>123</v>
      </c>
      <c r="D323" s="203">
        <v>0</v>
      </c>
      <c r="E323" s="139">
        <v>0.56999999999999995</v>
      </c>
      <c r="F323" s="132">
        <v>54</v>
      </c>
    </row>
    <row r="324" spans="1:6" ht="37.5" thickTop="1" thickBot="1">
      <c r="A324" s="150" t="s">
        <v>218</v>
      </c>
      <c r="B324" s="284" t="s">
        <v>140</v>
      </c>
      <c r="C324" s="286" t="s">
        <v>123</v>
      </c>
      <c r="D324" s="140">
        <v>0.57999999999999996</v>
      </c>
      <c r="E324" s="141">
        <v>0.76</v>
      </c>
      <c r="F324" s="135">
        <v>77</v>
      </c>
    </row>
    <row r="325" spans="1:6" ht="37.5" thickTop="1" thickBot="1">
      <c r="A325" s="150" t="s">
        <v>218</v>
      </c>
      <c r="B325" s="284" t="s">
        <v>140</v>
      </c>
      <c r="C325" s="286" t="s">
        <v>123</v>
      </c>
      <c r="D325" s="140">
        <v>0.77</v>
      </c>
      <c r="E325" s="141">
        <v>0.91</v>
      </c>
      <c r="F325" s="135">
        <v>88</v>
      </c>
    </row>
    <row r="326" spans="1:6" ht="37.5" thickTop="1" thickBot="1">
      <c r="A326" s="150" t="s">
        <v>218</v>
      </c>
      <c r="B326" s="284" t="s">
        <v>140</v>
      </c>
      <c r="C326" s="286" t="s">
        <v>123</v>
      </c>
      <c r="D326" s="140">
        <v>0.92</v>
      </c>
      <c r="E326" s="141">
        <v>0.97</v>
      </c>
      <c r="F326" s="135">
        <v>97</v>
      </c>
    </row>
    <row r="327" spans="1:6" ht="37.5" thickTop="1" thickBot="1">
      <c r="A327" s="150" t="s">
        <v>218</v>
      </c>
      <c r="B327" s="284" t="s">
        <v>140</v>
      </c>
      <c r="C327" s="286" t="s">
        <v>123</v>
      </c>
      <c r="D327" s="140">
        <v>0.98</v>
      </c>
      <c r="E327" s="141">
        <v>0.99</v>
      </c>
      <c r="F327" s="135">
        <v>107</v>
      </c>
    </row>
    <row r="328" spans="1:6" ht="37.5" thickTop="1" thickBot="1">
      <c r="A328" s="150" t="s">
        <v>218</v>
      </c>
      <c r="B328" s="284" t="s">
        <v>140</v>
      </c>
      <c r="C328" s="286" t="s">
        <v>123</v>
      </c>
      <c r="D328" s="140">
        <v>1</v>
      </c>
      <c r="E328" s="141" t="s">
        <v>141</v>
      </c>
      <c r="F328" s="135">
        <v>115</v>
      </c>
    </row>
    <row r="329" spans="1:6" ht="37.5" thickTop="1" thickBot="1">
      <c r="A329" s="150" t="s">
        <v>218</v>
      </c>
      <c r="B329" s="284" t="s">
        <v>140</v>
      </c>
      <c r="C329" s="286" t="s">
        <v>123</v>
      </c>
      <c r="D329" s="136" t="s">
        <v>132</v>
      </c>
      <c r="E329" s="137" t="s">
        <v>38</v>
      </c>
      <c r="F329" s="147">
        <v>114</v>
      </c>
    </row>
    <row r="330" spans="1:6" ht="37.5" thickTop="1" thickBot="1">
      <c r="A330" s="150" t="s">
        <v>218</v>
      </c>
      <c r="B330" s="284" t="s">
        <v>140</v>
      </c>
      <c r="C330" s="288" t="s">
        <v>125</v>
      </c>
      <c r="D330" s="203">
        <v>0</v>
      </c>
      <c r="E330" s="139">
        <v>0.81</v>
      </c>
      <c r="F330" s="132">
        <v>90</v>
      </c>
    </row>
    <row r="331" spans="1:6" ht="37.5" thickTop="1" thickBot="1">
      <c r="A331" s="150" t="s">
        <v>218</v>
      </c>
      <c r="B331" s="284" t="s">
        <v>140</v>
      </c>
      <c r="C331" s="288" t="s">
        <v>125</v>
      </c>
      <c r="D331" s="140">
        <v>0.82</v>
      </c>
      <c r="E331" s="141">
        <v>0.99</v>
      </c>
      <c r="F331" s="135">
        <v>98</v>
      </c>
    </row>
    <row r="332" spans="1:6" ht="37.5" thickTop="1" thickBot="1">
      <c r="A332" s="150" t="s">
        <v>218</v>
      </c>
      <c r="B332" s="284" t="s">
        <v>140</v>
      </c>
      <c r="C332" s="288" t="s">
        <v>125</v>
      </c>
      <c r="D332" s="140">
        <v>1</v>
      </c>
      <c r="E332" s="141" t="s">
        <v>141</v>
      </c>
      <c r="F332" s="135">
        <v>107</v>
      </c>
    </row>
    <row r="333" spans="1:6" ht="37.5" thickTop="1" thickBot="1">
      <c r="A333" s="150" t="s">
        <v>218</v>
      </c>
      <c r="B333" s="284" t="s">
        <v>140</v>
      </c>
      <c r="C333" s="288" t="s">
        <v>125</v>
      </c>
      <c r="D333" s="140" t="s">
        <v>132</v>
      </c>
      <c r="E333" s="141" t="s">
        <v>38</v>
      </c>
      <c r="F333" s="135">
        <v>104</v>
      </c>
    </row>
    <row r="334" spans="1:6" ht="37.5" hidden="1" thickTop="1" thickBot="1">
      <c r="A334" s="150" t="s">
        <v>218</v>
      </c>
      <c r="B334" s="284" t="s">
        <v>140</v>
      </c>
      <c r="C334" s="288" t="s">
        <v>125</v>
      </c>
      <c r="D334" s="152"/>
      <c r="E334" s="153"/>
      <c r="F334" s="154"/>
    </row>
    <row r="335" spans="1:6" ht="37.5" thickTop="1" thickBot="1">
      <c r="A335" s="150" t="s">
        <v>218</v>
      </c>
      <c r="B335" s="284" t="s">
        <v>142</v>
      </c>
      <c r="C335" s="288" t="s">
        <v>143</v>
      </c>
      <c r="D335" s="206">
        <v>0</v>
      </c>
      <c r="E335" s="131"/>
      <c r="F335" s="132">
        <v>115</v>
      </c>
    </row>
    <row r="336" spans="1:6" ht="37.5" thickTop="1" thickBot="1">
      <c r="A336" s="150" t="s">
        <v>218</v>
      </c>
      <c r="B336" s="284" t="s">
        <v>142</v>
      </c>
      <c r="C336" s="288" t="s">
        <v>143</v>
      </c>
      <c r="D336" s="133">
        <v>1</v>
      </c>
      <c r="E336" s="134"/>
      <c r="F336" s="135">
        <v>73</v>
      </c>
    </row>
    <row r="337" spans="1:6" ht="37.5" thickTop="1" thickBot="1">
      <c r="A337" s="150" t="s">
        <v>218</v>
      </c>
      <c r="B337" s="284" t="s">
        <v>142</v>
      </c>
      <c r="C337" s="288" t="s">
        <v>143</v>
      </c>
      <c r="D337" s="155">
        <v>2</v>
      </c>
      <c r="E337" s="157"/>
      <c r="F337" s="135">
        <v>24</v>
      </c>
    </row>
    <row r="338" spans="1:6" ht="37.5" thickTop="1" thickBot="1">
      <c r="A338" s="150" t="s">
        <v>218</v>
      </c>
      <c r="B338" s="284" t="s">
        <v>142</v>
      </c>
      <c r="C338" s="288" t="s">
        <v>143</v>
      </c>
      <c r="D338" s="155">
        <v>3</v>
      </c>
      <c r="E338" s="157" t="s">
        <v>129</v>
      </c>
      <c r="F338" s="135">
        <v>-11</v>
      </c>
    </row>
    <row r="339" spans="1:6" ht="37.5" thickTop="1" thickBot="1">
      <c r="A339" s="150" t="s">
        <v>218</v>
      </c>
      <c r="B339" s="284" t="s">
        <v>142</v>
      </c>
      <c r="C339" s="288" t="s">
        <v>143</v>
      </c>
      <c r="D339" s="136" t="s">
        <v>132</v>
      </c>
      <c r="E339" s="137" t="s">
        <v>38</v>
      </c>
      <c r="F339" s="156">
        <v>94</v>
      </c>
    </row>
    <row r="340" spans="1:6" ht="37.5" thickTop="1" thickBot="1">
      <c r="A340" s="150" t="s">
        <v>218</v>
      </c>
      <c r="B340" s="284" t="s">
        <v>142</v>
      </c>
      <c r="C340" s="288" t="s">
        <v>144</v>
      </c>
      <c r="D340" s="138">
        <v>0</v>
      </c>
      <c r="E340" s="139">
        <v>0.65</v>
      </c>
      <c r="F340" s="132">
        <v>55</v>
      </c>
    </row>
    <row r="341" spans="1:6" ht="37.5" thickTop="1" thickBot="1">
      <c r="A341" s="150" t="s">
        <v>218</v>
      </c>
      <c r="B341" s="284" t="s">
        <v>142</v>
      </c>
      <c r="C341" s="288" t="s">
        <v>144</v>
      </c>
      <c r="D341" s="140">
        <v>0.65</v>
      </c>
      <c r="E341" s="141">
        <v>0.87</v>
      </c>
      <c r="F341" s="135">
        <v>78</v>
      </c>
    </row>
    <row r="342" spans="1:6" ht="37.5" thickTop="1" thickBot="1">
      <c r="A342" s="150" t="s">
        <v>218</v>
      </c>
      <c r="B342" s="284" t="s">
        <v>142</v>
      </c>
      <c r="C342" s="288" t="s">
        <v>144</v>
      </c>
      <c r="D342" s="140">
        <v>0.87</v>
      </c>
      <c r="E342" s="141">
        <v>1</v>
      </c>
      <c r="F342" s="135">
        <v>88</v>
      </c>
    </row>
    <row r="343" spans="1:6" ht="37.5" thickTop="1" thickBot="1">
      <c r="A343" s="150" t="s">
        <v>218</v>
      </c>
      <c r="B343" s="284" t="s">
        <v>142</v>
      </c>
      <c r="C343" s="288" t="s">
        <v>144</v>
      </c>
      <c r="D343" s="140">
        <v>1</v>
      </c>
      <c r="E343" s="141" t="s">
        <v>141</v>
      </c>
      <c r="F343" s="135">
        <v>107</v>
      </c>
    </row>
    <row r="344" spans="1:6" ht="37.5" thickTop="1" thickBot="1">
      <c r="A344" s="150" t="s">
        <v>218</v>
      </c>
      <c r="B344" s="284" t="s">
        <v>142</v>
      </c>
      <c r="C344" s="288" t="s">
        <v>144</v>
      </c>
      <c r="D344" s="140" t="s">
        <v>132</v>
      </c>
      <c r="E344" s="141" t="s">
        <v>38</v>
      </c>
      <c r="F344" s="135">
        <v>98</v>
      </c>
    </row>
    <row r="345" spans="1:6" ht="37.5" hidden="1" thickTop="1" thickBot="1">
      <c r="A345" s="150" t="s">
        <v>218</v>
      </c>
      <c r="B345" s="284" t="s">
        <v>142</v>
      </c>
      <c r="C345" s="288" t="s">
        <v>144</v>
      </c>
      <c r="D345" s="160"/>
      <c r="E345" s="158"/>
      <c r="F345" s="159"/>
    </row>
    <row r="346" spans="1:6" ht="15.75" hidden="1" thickTop="1" thickBot="1">
      <c r="A346" s="150" t="s">
        <v>218</v>
      </c>
      <c r="B346" s="284" t="s">
        <v>177</v>
      </c>
      <c r="C346" s="288" t="s">
        <v>146</v>
      </c>
      <c r="D346" s="221"/>
      <c r="E346" s="222"/>
      <c r="F346" s="223"/>
    </row>
    <row r="347" spans="1:6" ht="15.75" hidden="1" thickTop="1" thickBot="1">
      <c r="A347" s="150" t="s">
        <v>218</v>
      </c>
      <c r="B347" s="284" t="s">
        <v>177</v>
      </c>
      <c r="C347" s="288" t="s">
        <v>146</v>
      </c>
      <c r="D347" s="224"/>
      <c r="E347" s="225"/>
      <c r="F347" s="226"/>
    </row>
    <row r="348" spans="1:6" ht="15.75" hidden="1" thickTop="1" thickBot="1">
      <c r="A348" s="150" t="s">
        <v>218</v>
      </c>
      <c r="B348" s="284" t="s">
        <v>177</v>
      </c>
      <c r="C348" s="288" t="s">
        <v>146</v>
      </c>
      <c r="D348" s="227"/>
      <c r="E348" s="225"/>
      <c r="F348" s="226"/>
    </row>
    <row r="349" spans="1:6" ht="15.75" hidden="1" thickTop="1" thickBot="1">
      <c r="A349" s="150" t="s">
        <v>218</v>
      </c>
      <c r="B349" s="284" t="s">
        <v>177</v>
      </c>
      <c r="C349" s="288" t="s">
        <v>146</v>
      </c>
      <c r="D349" s="227"/>
      <c r="E349" s="225"/>
      <c r="F349" s="226"/>
    </row>
    <row r="350" spans="1:6" ht="15.75" hidden="1" thickTop="1" thickBot="1">
      <c r="A350" s="150" t="s">
        <v>218</v>
      </c>
      <c r="B350" s="284" t="s">
        <v>177</v>
      </c>
      <c r="C350" s="288" t="s">
        <v>146</v>
      </c>
      <c r="D350" s="227"/>
      <c r="E350" s="225"/>
      <c r="F350" s="226"/>
    </row>
    <row r="351" spans="1:6" ht="15.75" hidden="1" thickTop="1" thickBot="1">
      <c r="A351" s="150" t="s">
        <v>218</v>
      </c>
      <c r="B351" s="284" t="s">
        <v>177</v>
      </c>
      <c r="C351" s="288" t="s">
        <v>146</v>
      </c>
      <c r="D351" s="160"/>
      <c r="E351" s="158"/>
      <c r="F351" s="228"/>
    </row>
    <row r="352" spans="1:6" ht="15.75" hidden="1" thickTop="1" thickBot="1">
      <c r="A352" s="150" t="s">
        <v>218</v>
      </c>
      <c r="B352" s="284" t="s">
        <v>177</v>
      </c>
      <c r="C352" s="289" t="s">
        <v>150</v>
      </c>
      <c r="D352" s="229"/>
      <c r="E352" s="230"/>
      <c r="F352" s="223"/>
    </row>
    <row r="353" spans="1:6" ht="15.75" hidden="1" thickTop="1" thickBot="1">
      <c r="A353" s="150" t="s">
        <v>218</v>
      </c>
      <c r="B353" s="284" t="s">
        <v>177</v>
      </c>
      <c r="C353" s="289" t="s">
        <v>150</v>
      </c>
      <c r="D353" s="231"/>
      <c r="E353" s="232"/>
      <c r="F353" s="226"/>
    </row>
    <row r="354" spans="1:6" ht="15.75" hidden="1" thickTop="1" thickBot="1">
      <c r="A354" s="150" t="s">
        <v>218</v>
      </c>
      <c r="B354" s="284" t="s">
        <v>177</v>
      </c>
      <c r="C354" s="289" t="s">
        <v>150</v>
      </c>
      <c r="D354" s="231"/>
      <c r="E354" s="232"/>
      <c r="F354" s="226"/>
    </row>
    <row r="355" spans="1:6" ht="15.75" hidden="1" thickTop="1" thickBot="1">
      <c r="A355" s="150" t="s">
        <v>218</v>
      </c>
      <c r="B355" s="284" t="s">
        <v>177</v>
      </c>
      <c r="C355" s="289" t="s">
        <v>150</v>
      </c>
      <c r="D355" s="160"/>
      <c r="E355" s="158"/>
      <c r="F355" s="228"/>
    </row>
    <row r="356" spans="1:6" ht="15.75" hidden="1" thickTop="1" thickBot="1">
      <c r="A356" s="150" t="s">
        <v>218</v>
      </c>
      <c r="B356" s="284" t="s">
        <v>177</v>
      </c>
      <c r="C356" s="289" t="s">
        <v>152</v>
      </c>
      <c r="D356" s="233"/>
      <c r="E356" s="234"/>
      <c r="F356" s="223"/>
    </row>
    <row r="357" spans="1:6" ht="15.75" hidden="1" thickTop="1" thickBot="1">
      <c r="A357" s="150" t="s">
        <v>218</v>
      </c>
      <c r="B357" s="284" t="s">
        <v>177</v>
      </c>
      <c r="C357" s="289" t="s">
        <v>152</v>
      </c>
      <c r="D357" s="227"/>
      <c r="E357" s="225"/>
      <c r="F357" s="226"/>
    </row>
    <row r="358" spans="1:6" ht="15.75" hidden="1" thickTop="1" thickBot="1">
      <c r="A358" s="150" t="s">
        <v>218</v>
      </c>
      <c r="B358" s="284" t="s">
        <v>177</v>
      </c>
      <c r="C358" s="289" t="s">
        <v>152</v>
      </c>
      <c r="D358" s="227"/>
      <c r="E358" s="225"/>
      <c r="F358" s="226"/>
    </row>
    <row r="359" spans="1:6" ht="15.75" hidden="1" thickTop="1" thickBot="1">
      <c r="A359" s="150" t="s">
        <v>218</v>
      </c>
      <c r="B359" s="284" t="s">
        <v>177</v>
      </c>
      <c r="C359" s="289" t="s">
        <v>152</v>
      </c>
      <c r="D359" s="160"/>
      <c r="E359" s="158"/>
      <c r="F359" s="228"/>
    </row>
    <row r="360" spans="1:6" ht="15.75" hidden="1" thickTop="1" thickBot="1">
      <c r="A360" s="150" t="s">
        <v>218</v>
      </c>
      <c r="B360" s="284" t="s">
        <v>177</v>
      </c>
      <c r="C360" s="285" t="s">
        <v>154</v>
      </c>
      <c r="D360" s="229"/>
      <c r="E360" s="235"/>
      <c r="F360" s="223"/>
    </row>
    <row r="361" spans="1:6" ht="15.75" hidden="1" thickTop="1" thickBot="1">
      <c r="A361" s="150" t="s">
        <v>218</v>
      </c>
      <c r="B361" s="284" t="s">
        <v>177</v>
      </c>
      <c r="C361" s="285" t="s">
        <v>154</v>
      </c>
      <c r="D361" s="231"/>
      <c r="E361" s="236"/>
      <c r="F361" s="226"/>
    </row>
    <row r="362" spans="1:6" ht="15.75" hidden="1" thickTop="1" thickBot="1">
      <c r="A362" s="150" t="s">
        <v>218</v>
      </c>
      <c r="B362" s="284" t="s">
        <v>177</v>
      </c>
      <c r="C362" s="285" t="s">
        <v>154</v>
      </c>
      <c r="D362" s="237"/>
      <c r="E362" s="236"/>
      <c r="F362" s="226"/>
    </row>
    <row r="363" spans="1:6" ht="15.75" hidden="1" thickTop="1" thickBot="1">
      <c r="A363" s="150" t="s">
        <v>218</v>
      </c>
      <c r="B363" s="284" t="s">
        <v>177</v>
      </c>
      <c r="C363" s="285" t="s">
        <v>154</v>
      </c>
      <c r="D363" s="237"/>
      <c r="E363" s="232"/>
      <c r="F363" s="226"/>
    </row>
    <row r="364" spans="1:6" ht="15.75" hidden="1" thickTop="1" thickBot="1">
      <c r="A364" s="150" t="s">
        <v>218</v>
      </c>
      <c r="B364" s="284" t="s">
        <v>177</v>
      </c>
      <c r="C364" s="285" t="s">
        <v>154</v>
      </c>
      <c r="D364" s="160"/>
      <c r="E364" s="158"/>
      <c r="F364" s="228"/>
    </row>
    <row r="365" spans="1:6" ht="15.75" thickTop="1" thickBot="1">
      <c r="A365" s="150" t="s">
        <v>218</v>
      </c>
      <c r="B365" s="284" t="s">
        <v>177</v>
      </c>
      <c r="C365" s="285" t="s">
        <v>156</v>
      </c>
      <c r="D365" s="214">
        <v>-1</v>
      </c>
      <c r="E365" s="215">
        <v>3.0000000000000001E-3</v>
      </c>
      <c r="F365" s="132">
        <v>97</v>
      </c>
    </row>
    <row r="366" spans="1:6" ht="15.75" thickTop="1" thickBot="1">
      <c r="A366" s="150" t="s">
        <v>218</v>
      </c>
      <c r="B366" s="284" t="s">
        <v>177</v>
      </c>
      <c r="C366" s="285" t="s">
        <v>156</v>
      </c>
      <c r="D366" s="209">
        <v>3.0000000000000001E-3</v>
      </c>
      <c r="E366" s="210">
        <v>4.1000000000000002E-2</v>
      </c>
      <c r="F366" s="135">
        <v>108</v>
      </c>
    </row>
    <row r="367" spans="1:6" ht="15.75" thickTop="1" thickBot="1">
      <c r="A367" s="150" t="s">
        <v>218</v>
      </c>
      <c r="B367" s="284" t="s">
        <v>177</v>
      </c>
      <c r="C367" s="285" t="s">
        <v>156</v>
      </c>
      <c r="D367" s="209">
        <v>4.1000000000000002E-2</v>
      </c>
      <c r="E367" s="210">
        <v>0.23400000000000001</v>
      </c>
      <c r="F367" s="135">
        <v>115</v>
      </c>
    </row>
    <row r="368" spans="1:6" ht="15.75" thickTop="1" thickBot="1">
      <c r="A368" s="150" t="s">
        <v>218</v>
      </c>
      <c r="B368" s="284" t="s">
        <v>177</v>
      </c>
      <c r="C368" s="285" t="s">
        <v>156</v>
      </c>
      <c r="D368" s="209">
        <v>0.23400000000000001</v>
      </c>
      <c r="E368" s="210" t="s">
        <v>176</v>
      </c>
      <c r="F368" s="135">
        <v>120</v>
      </c>
    </row>
    <row r="369" spans="1:6" ht="15.75" thickTop="1" thickBot="1">
      <c r="A369" s="150" t="s">
        <v>218</v>
      </c>
      <c r="B369" s="284" t="s">
        <v>177</v>
      </c>
      <c r="C369" s="285" t="s">
        <v>156</v>
      </c>
      <c r="D369" s="136" t="s">
        <v>132</v>
      </c>
      <c r="E369" s="137" t="s">
        <v>38</v>
      </c>
      <c r="F369" s="220">
        <v>40</v>
      </c>
    </row>
    <row r="370" spans="1:6" ht="15.75" hidden="1" thickTop="1" thickBot="1">
      <c r="A370" s="150" t="s">
        <v>218</v>
      </c>
      <c r="B370" s="284" t="s">
        <v>177</v>
      </c>
      <c r="C370" s="285" t="s">
        <v>158</v>
      </c>
      <c r="D370" s="229"/>
      <c r="E370" s="235"/>
      <c r="F370" s="223"/>
    </row>
    <row r="371" spans="1:6" ht="15.75" hidden="1" thickTop="1" thickBot="1">
      <c r="A371" s="150" t="s">
        <v>218</v>
      </c>
      <c r="B371" s="284" t="s">
        <v>177</v>
      </c>
      <c r="C371" s="285" t="s">
        <v>158</v>
      </c>
      <c r="D371" s="231"/>
      <c r="E371" s="236"/>
      <c r="F371" s="226"/>
    </row>
    <row r="372" spans="1:6" ht="15.75" hidden="1" thickTop="1" thickBot="1">
      <c r="A372" s="150" t="s">
        <v>218</v>
      </c>
      <c r="B372" s="284" t="s">
        <v>177</v>
      </c>
      <c r="C372" s="285" t="s">
        <v>158</v>
      </c>
      <c r="D372" s="237"/>
      <c r="E372" s="232"/>
      <c r="F372" s="226"/>
    </row>
    <row r="373" spans="1:6" ht="15.75" hidden="1" thickTop="1" thickBot="1">
      <c r="A373" s="150" t="s">
        <v>218</v>
      </c>
      <c r="B373" s="284" t="s">
        <v>177</v>
      </c>
      <c r="C373" s="285" t="s">
        <v>158</v>
      </c>
      <c r="D373" s="160"/>
      <c r="E373" s="158"/>
      <c r="F373" s="228"/>
    </row>
    <row r="374" spans="1:6" ht="15.75" hidden="1" thickTop="1" thickBot="1">
      <c r="A374" s="150" t="s">
        <v>218</v>
      </c>
      <c r="B374" s="284" t="s">
        <v>177</v>
      </c>
      <c r="C374" s="285" t="s">
        <v>161</v>
      </c>
      <c r="D374" s="229"/>
      <c r="E374" s="235"/>
      <c r="F374" s="223"/>
    </row>
    <row r="375" spans="1:6" ht="15.75" hidden="1" thickTop="1" thickBot="1">
      <c r="A375" s="150" t="s">
        <v>218</v>
      </c>
      <c r="B375" s="284" t="s">
        <v>177</v>
      </c>
      <c r="C375" s="285" t="s">
        <v>161</v>
      </c>
      <c r="D375" s="237"/>
      <c r="E375" s="236"/>
      <c r="F375" s="226"/>
    </row>
    <row r="376" spans="1:6" ht="15.75" hidden="1" thickTop="1" thickBot="1">
      <c r="A376" s="150" t="s">
        <v>218</v>
      </c>
      <c r="B376" s="284" t="s">
        <v>177</v>
      </c>
      <c r="C376" s="285" t="s">
        <v>161</v>
      </c>
      <c r="D376" s="237"/>
      <c r="E376" s="236"/>
      <c r="F376" s="226"/>
    </row>
    <row r="377" spans="1:6" ht="15.75" hidden="1" thickTop="1" thickBot="1">
      <c r="A377" s="150" t="s">
        <v>218</v>
      </c>
      <c r="B377" s="284" t="s">
        <v>177</v>
      </c>
      <c r="C377" s="285" t="s">
        <v>161</v>
      </c>
      <c r="D377" s="237"/>
      <c r="E377" s="232"/>
      <c r="F377" s="226"/>
    </row>
    <row r="378" spans="1:6" ht="15.75" hidden="1" thickTop="1" thickBot="1">
      <c r="A378" s="150" t="s">
        <v>218</v>
      </c>
      <c r="B378" s="284" t="s">
        <v>177</v>
      </c>
      <c r="C378" s="285" t="s">
        <v>161</v>
      </c>
      <c r="D378" s="160"/>
      <c r="E378" s="158"/>
      <c r="F378" s="228"/>
    </row>
    <row r="379" spans="1:6" ht="15.75" hidden="1" thickTop="1" thickBot="1">
      <c r="A379" s="150" t="s">
        <v>218</v>
      </c>
      <c r="B379" s="284" t="s">
        <v>177</v>
      </c>
      <c r="C379" s="285" t="s">
        <v>163</v>
      </c>
      <c r="D379" s="233"/>
      <c r="E379" s="234"/>
      <c r="F379" s="223"/>
    </row>
    <row r="380" spans="1:6" ht="15.75" hidden="1" thickTop="1" thickBot="1">
      <c r="A380" s="150" t="s">
        <v>218</v>
      </c>
      <c r="B380" s="284" t="s">
        <v>177</v>
      </c>
      <c r="C380" s="285" t="s">
        <v>163</v>
      </c>
      <c r="D380" s="227"/>
      <c r="E380" s="225"/>
      <c r="F380" s="226"/>
    </row>
    <row r="381" spans="1:6" ht="15.75" hidden="1" thickTop="1" thickBot="1">
      <c r="A381" s="150" t="s">
        <v>218</v>
      </c>
      <c r="B381" s="284" t="s">
        <v>177</v>
      </c>
      <c r="C381" s="285" t="s">
        <v>163</v>
      </c>
      <c r="D381" s="227"/>
      <c r="E381" s="225"/>
      <c r="F381" s="226"/>
    </row>
    <row r="382" spans="1:6" ht="15.75" hidden="1" thickTop="1" thickBot="1">
      <c r="A382" s="150" t="s">
        <v>218</v>
      </c>
      <c r="B382" s="284" t="s">
        <v>177</v>
      </c>
      <c r="C382" s="285" t="s">
        <v>163</v>
      </c>
      <c r="D382" s="227"/>
      <c r="E382" s="225"/>
      <c r="F382" s="226"/>
    </row>
    <row r="383" spans="1:6" ht="15.75" hidden="1" thickTop="1" thickBot="1">
      <c r="A383" s="150" t="s">
        <v>218</v>
      </c>
      <c r="B383" s="284" t="s">
        <v>177</v>
      </c>
      <c r="C383" s="285" t="s">
        <v>163</v>
      </c>
      <c r="D383" s="160"/>
      <c r="E383" s="158"/>
      <c r="F383" s="228"/>
    </row>
    <row r="384" spans="1:6" ht="15.75" hidden="1" thickTop="1" thickBot="1">
      <c r="A384" s="150" t="s">
        <v>218</v>
      </c>
      <c r="B384" s="284" t="s">
        <v>177</v>
      </c>
      <c r="C384" s="285" t="s">
        <v>167</v>
      </c>
      <c r="D384" s="229"/>
      <c r="E384" s="235"/>
      <c r="F384" s="223"/>
    </row>
    <row r="385" spans="1:6" ht="15.75" hidden="1" thickTop="1" thickBot="1">
      <c r="A385" s="150" t="s">
        <v>218</v>
      </c>
      <c r="B385" s="284" t="s">
        <v>177</v>
      </c>
      <c r="C385" s="285" t="s">
        <v>167</v>
      </c>
      <c r="D385" s="237"/>
      <c r="E385" s="236"/>
      <c r="F385" s="226"/>
    </row>
    <row r="386" spans="1:6" ht="15.75" hidden="1" thickTop="1" thickBot="1">
      <c r="A386" s="150" t="s">
        <v>218</v>
      </c>
      <c r="B386" s="284" t="s">
        <v>177</v>
      </c>
      <c r="C386" s="285" t="s">
        <v>167</v>
      </c>
      <c r="D386" s="237"/>
      <c r="E386" s="236"/>
      <c r="F386" s="226"/>
    </row>
    <row r="387" spans="1:6" ht="15.75" hidden="1" thickTop="1" thickBot="1">
      <c r="A387" s="150" t="s">
        <v>218</v>
      </c>
      <c r="B387" s="284" t="s">
        <v>177</v>
      </c>
      <c r="C387" s="285" t="s">
        <v>167</v>
      </c>
      <c r="D387" s="237"/>
      <c r="E387" s="232"/>
      <c r="F387" s="226"/>
    </row>
    <row r="388" spans="1:6" ht="15.75" hidden="1" thickTop="1" thickBot="1">
      <c r="A388" s="150" t="s">
        <v>218</v>
      </c>
      <c r="B388" s="284" t="s">
        <v>177</v>
      </c>
      <c r="C388" s="285" t="s">
        <v>167</v>
      </c>
      <c r="D388" s="160"/>
      <c r="E388" s="158"/>
      <c r="F388" s="228"/>
    </row>
    <row r="389" spans="1:6" ht="15.75" hidden="1" thickTop="1" thickBot="1">
      <c r="A389" s="150" t="s">
        <v>218</v>
      </c>
      <c r="B389" s="284" t="s">
        <v>177</v>
      </c>
      <c r="C389" s="285" t="s">
        <v>203</v>
      </c>
      <c r="D389" s="229"/>
      <c r="E389" s="230"/>
      <c r="F389" s="223"/>
    </row>
    <row r="390" spans="1:6" ht="15.75" hidden="1" thickTop="1" thickBot="1">
      <c r="A390" s="150" t="s">
        <v>218</v>
      </c>
      <c r="B390" s="284" t="s">
        <v>177</v>
      </c>
      <c r="C390" s="285" t="s">
        <v>203</v>
      </c>
      <c r="D390" s="238"/>
      <c r="E390" s="239"/>
      <c r="F390" s="226"/>
    </row>
    <row r="391" spans="1:6" ht="15.75" hidden="1" thickTop="1" thickBot="1">
      <c r="A391" s="150" t="s">
        <v>218</v>
      </c>
      <c r="B391" s="284" t="s">
        <v>177</v>
      </c>
      <c r="C391" s="285" t="s">
        <v>203</v>
      </c>
      <c r="D391" s="238"/>
      <c r="E391" s="239"/>
      <c r="F391" s="226"/>
    </row>
    <row r="392" spans="1:6" ht="15.75" hidden="1" thickTop="1" thickBot="1">
      <c r="A392" s="150" t="s">
        <v>218</v>
      </c>
      <c r="B392" s="284" t="s">
        <v>177</v>
      </c>
      <c r="C392" s="285" t="s">
        <v>203</v>
      </c>
      <c r="D392" s="238"/>
      <c r="E392" s="232"/>
      <c r="F392" s="226"/>
    </row>
    <row r="393" spans="1:6" ht="15.75" hidden="1" thickTop="1" thickBot="1">
      <c r="A393" s="150" t="s">
        <v>218</v>
      </c>
      <c r="B393" s="284" t="s">
        <v>177</v>
      </c>
      <c r="C393" s="285" t="s">
        <v>203</v>
      </c>
      <c r="D393" s="160"/>
      <c r="E393" s="158"/>
      <c r="F393" s="228"/>
    </row>
    <row r="394" spans="1:6" ht="15.75" thickTop="1" thickBot="1">
      <c r="A394" s="150" t="s">
        <v>218</v>
      </c>
      <c r="B394" s="284" t="s">
        <v>177</v>
      </c>
      <c r="C394" s="285" t="s">
        <v>172</v>
      </c>
      <c r="D394" s="214">
        <v>-1</v>
      </c>
      <c r="E394" s="215">
        <v>0</v>
      </c>
      <c r="F394" s="132">
        <v>118</v>
      </c>
    </row>
    <row r="395" spans="1:6" ht="15.75" thickTop="1" thickBot="1">
      <c r="A395" s="150" t="s">
        <v>218</v>
      </c>
      <c r="B395" s="284" t="s">
        <v>177</v>
      </c>
      <c r="C395" s="285" t="s">
        <v>172</v>
      </c>
      <c r="D395" s="209">
        <v>0</v>
      </c>
      <c r="E395" s="210">
        <v>0.114</v>
      </c>
      <c r="F395" s="135">
        <v>128</v>
      </c>
    </row>
    <row r="396" spans="1:6" ht="15.75" thickTop="1" thickBot="1">
      <c r="A396" s="150" t="s">
        <v>218</v>
      </c>
      <c r="B396" s="284" t="s">
        <v>177</v>
      </c>
      <c r="C396" s="285" t="s">
        <v>172</v>
      </c>
      <c r="D396" s="209">
        <v>0.114</v>
      </c>
      <c r="E396" s="210">
        <v>0.25</v>
      </c>
      <c r="F396" s="135">
        <v>119</v>
      </c>
    </row>
    <row r="397" spans="1:6" ht="15.75" thickTop="1" thickBot="1">
      <c r="A397" s="150" t="s">
        <v>218</v>
      </c>
      <c r="B397" s="284" t="s">
        <v>177</v>
      </c>
      <c r="C397" s="285" t="s">
        <v>172</v>
      </c>
      <c r="D397" s="209">
        <v>0.25</v>
      </c>
      <c r="E397" s="210" t="s">
        <v>173</v>
      </c>
      <c r="F397" s="135">
        <v>104</v>
      </c>
    </row>
    <row r="398" spans="1:6" ht="15.75" thickTop="1" thickBot="1">
      <c r="A398" s="150" t="s">
        <v>218</v>
      </c>
      <c r="B398" s="284" t="s">
        <v>177</v>
      </c>
      <c r="C398" s="285" t="s">
        <v>172</v>
      </c>
      <c r="D398" s="136" t="s">
        <v>132</v>
      </c>
      <c r="E398" s="137" t="s">
        <v>38</v>
      </c>
      <c r="F398" s="207">
        <v>79</v>
      </c>
    </row>
    <row r="399" spans="1:6" ht="15.75" thickTop="1" thickBot="1">
      <c r="A399" s="150" t="s">
        <v>218</v>
      </c>
      <c r="B399" s="284" t="s">
        <v>177</v>
      </c>
      <c r="C399" s="285" t="s">
        <v>174</v>
      </c>
      <c r="D399" s="214">
        <v>-1</v>
      </c>
      <c r="E399" s="215">
        <v>0.06</v>
      </c>
      <c r="F399" s="132">
        <v>93</v>
      </c>
    </row>
    <row r="400" spans="1:6" ht="15.75" thickTop="1" thickBot="1">
      <c r="A400" s="150" t="s">
        <v>218</v>
      </c>
      <c r="B400" s="284" t="s">
        <v>177</v>
      </c>
      <c r="C400" s="285" t="s">
        <v>174</v>
      </c>
      <c r="D400" s="209">
        <v>0.06</v>
      </c>
      <c r="E400" s="210">
        <v>0.56999999999999995</v>
      </c>
      <c r="F400" s="135">
        <v>109</v>
      </c>
    </row>
    <row r="401" spans="1:6" ht="15.75" thickTop="1" thickBot="1">
      <c r="A401" s="150" t="s">
        <v>218</v>
      </c>
      <c r="B401" s="284" t="s">
        <v>177</v>
      </c>
      <c r="C401" s="285" t="s">
        <v>174</v>
      </c>
      <c r="D401" s="209">
        <v>0.56999999999999995</v>
      </c>
      <c r="E401" s="210" t="s">
        <v>175</v>
      </c>
      <c r="F401" s="135">
        <v>118</v>
      </c>
    </row>
    <row r="402" spans="1:6" ht="15.75" thickTop="1" thickBot="1">
      <c r="A402" s="150" t="s">
        <v>218</v>
      </c>
      <c r="B402" s="284" t="s">
        <v>177</v>
      </c>
      <c r="C402" s="285" t="s">
        <v>174</v>
      </c>
      <c r="D402" s="136" t="s">
        <v>132</v>
      </c>
      <c r="E402" s="137" t="s">
        <v>38</v>
      </c>
      <c r="F402" s="135">
        <v>50</v>
      </c>
    </row>
    <row r="403" spans="1:6" ht="15" thickTop="1"/>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E25"/>
  <sheetViews>
    <sheetView zoomScaleNormal="100" workbookViewId="0">
      <selection activeCell="C46" sqref="C46"/>
    </sheetView>
  </sheetViews>
  <sheetFormatPr baseColWidth="10" defaultColWidth="9.140625" defaultRowHeight="15"/>
  <cols>
    <col min="2" max="2" width="39.28515625" customWidth="1"/>
    <col min="3" max="4" width="40.42578125" customWidth="1"/>
    <col min="5" max="5" width="13.85546875" customWidth="1"/>
    <col min="7" max="7" width="58.140625" customWidth="1"/>
  </cols>
  <sheetData>
    <row r="1" spans="2:5" ht="15.75" thickBot="1">
      <c r="B1" s="254"/>
    </row>
    <row r="2" spans="2:5" ht="16.5" thickTop="1" thickBot="1">
      <c r="B2" s="199" t="s">
        <v>4</v>
      </c>
      <c r="C2" s="390" t="s">
        <v>109</v>
      </c>
      <c r="D2" s="391"/>
      <c r="E2" s="149" t="s">
        <v>6</v>
      </c>
    </row>
    <row r="3" spans="2:5" ht="15.75" thickTop="1">
      <c r="B3" s="388" t="s">
        <v>179</v>
      </c>
      <c r="C3" s="253" t="s">
        <v>212</v>
      </c>
      <c r="D3" s="131">
        <v>7</v>
      </c>
      <c r="E3" s="132">
        <v>124</v>
      </c>
    </row>
    <row r="4" spans="2:5">
      <c r="B4" s="389"/>
      <c r="C4" s="134" t="s">
        <v>211</v>
      </c>
      <c r="D4" s="134" t="s">
        <v>178</v>
      </c>
      <c r="E4" s="135">
        <v>120</v>
      </c>
    </row>
    <row r="5" spans="2:5" ht="15.75" thickBot="1">
      <c r="B5" s="389"/>
      <c r="C5" s="137" t="s">
        <v>132</v>
      </c>
      <c r="D5" s="137" t="s">
        <v>38</v>
      </c>
      <c r="E5" s="220">
        <v>121</v>
      </c>
    </row>
    <row r="6" spans="2:5" ht="15.75" customHeight="1" thickTop="1">
      <c r="B6" s="392" t="s">
        <v>180</v>
      </c>
      <c r="C6" s="255" t="s">
        <v>181</v>
      </c>
      <c r="D6" s="256"/>
      <c r="E6" s="250">
        <v>118</v>
      </c>
    </row>
    <row r="7" spans="2:5">
      <c r="B7" s="393"/>
      <c r="C7" s="257" t="s">
        <v>182</v>
      </c>
      <c r="D7" s="258"/>
      <c r="E7" s="251">
        <v>125</v>
      </c>
    </row>
    <row r="8" spans="2:5">
      <c r="B8" s="393"/>
      <c r="C8" s="259" t="s">
        <v>183</v>
      </c>
      <c r="D8" s="260"/>
      <c r="E8" s="251">
        <v>131</v>
      </c>
    </row>
    <row r="9" spans="2:5" ht="15.75" thickBot="1">
      <c r="B9" s="394"/>
      <c r="C9" s="261" t="s">
        <v>184</v>
      </c>
      <c r="D9" s="262"/>
      <c r="E9" s="220">
        <v>123</v>
      </c>
    </row>
    <row r="10" spans="2:5" ht="15.75" thickTop="1">
      <c r="B10" s="385" t="s">
        <v>188</v>
      </c>
      <c r="C10" s="255" t="s">
        <v>185</v>
      </c>
      <c r="D10" s="256"/>
      <c r="E10" s="250">
        <v>141</v>
      </c>
    </row>
    <row r="11" spans="2:5">
      <c r="B11" s="386"/>
      <c r="C11" s="257" t="s">
        <v>186</v>
      </c>
      <c r="D11" s="258"/>
      <c r="E11" s="251">
        <v>123</v>
      </c>
    </row>
    <row r="12" spans="2:5">
      <c r="B12" s="386"/>
      <c r="C12" s="259" t="s">
        <v>187</v>
      </c>
      <c r="D12" s="260"/>
      <c r="E12" s="251">
        <v>97</v>
      </c>
    </row>
    <row r="13" spans="2:5" ht="15.75" thickBot="1">
      <c r="B13" s="387"/>
      <c r="C13" s="261" t="s">
        <v>184</v>
      </c>
      <c r="D13" s="262"/>
      <c r="E13" s="220">
        <v>100</v>
      </c>
    </row>
    <row r="14" spans="2:5" ht="15.75" thickTop="1">
      <c r="B14" s="392" t="s">
        <v>189</v>
      </c>
      <c r="C14" s="263" t="s">
        <v>193</v>
      </c>
      <c r="D14" s="264"/>
      <c r="E14" s="250">
        <v>124</v>
      </c>
    </row>
    <row r="15" spans="2:5">
      <c r="B15" s="393"/>
      <c r="C15" s="257" t="s">
        <v>191</v>
      </c>
      <c r="D15" s="258"/>
      <c r="E15" s="251">
        <v>130</v>
      </c>
    </row>
    <row r="16" spans="2:5" ht="15.75" thickBot="1">
      <c r="B16" s="394"/>
      <c r="C16" s="261" t="s">
        <v>192</v>
      </c>
      <c r="D16" s="262"/>
      <c r="E16" s="220">
        <v>118</v>
      </c>
    </row>
    <row r="17" spans="2:5" ht="15.75" thickTop="1">
      <c r="B17" s="385" t="s">
        <v>197</v>
      </c>
      <c r="C17" s="263" t="s">
        <v>194</v>
      </c>
      <c r="D17" s="264"/>
      <c r="E17" s="250">
        <v>128</v>
      </c>
    </row>
    <row r="18" spans="2:5">
      <c r="B18" s="386"/>
      <c r="C18" s="257" t="s">
        <v>195</v>
      </c>
      <c r="D18" s="258"/>
      <c r="E18" s="251">
        <v>106</v>
      </c>
    </row>
    <row r="19" spans="2:5">
      <c r="B19" s="386"/>
      <c r="C19" s="257" t="s">
        <v>196</v>
      </c>
      <c r="D19" s="258"/>
      <c r="E19" s="251">
        <v>60</v>
      </c>
    </row>
    <row r="20" spans="2:5" ht="15.75" thickBot="1">
      <c r="B20" s="387"/>
      <c r="C20" s="261" t="s">
        <v>190</v>
      </c>
      <c r="D20" s="262"/>
      <c r="E20" s="220">
        <v>70</v>
      </c>
    </row>
    <row r="21" spans="2:5" ht="15.75" thickTop="1">
      <c r="B21" s="385" t="s">
        <v>201</v>
      </c>
      <c r="C21" s="263" t="s">
        <v>198</v>
      </c>
      <c r="D21" s="264"/>
      <c r="E21" s="250">
        <v>123</v>
      </c>
    </row>
    <row r="22" spans="2:5">
      <c r="B22" s="386"/>
      <c r="C22" s="257" t="s">
        <v>199</v>
      </c>
      <c r="D22" s="258"/>
      <c r="E22" s="251">
        <v>131</v>
      </c>
    </row>
    <row r="23" spans="2:5">
      <c r="B23" s="386"/>
      <c r="C23" s="257" t="s">
        <v>200</v>
      </c>
      <c r="D23" s="258"/>
      <c r="E23" s="251">
        <v>147</v>
      </c>
    </row>
    <row r="24" spans="2:5" ht="15.75" thickBot="1">
      <c r="B24" s="387"/>
      <c r="C24" s="261" t="s">
        <v>38</v>
      </c>
      <c r="D24" s="262"/>
      <c r="E24" s="220">
        <v>127</v>
      </c>
    </row>
    <row r="25" spans="2:5" ht="15.75" thickTop="1">
      <c r="B25" s="252"/>
    </row>
  </sheetData>
  <sheetProtection algorithmName="SHA-512" hashValue="qZti9pzbIq1HY7l35iBsBE74IkojbYwEyMm/RBBKHVUBAa++Lo2FTt3BGtELRUnnOsI7sjE9uTrzAP9n6rfCcQ==" saltValue="QUNfFJm481RCTCbfmptobQ==" spinCount="100000" sheet="1" objects="1" scenarios="1"/>
  <mergeCells count="7">
    <mergeCell ref="B17:B20"/>
    <mergeCell ref="B21:B24"/>
    <mergeCell ref="B3:B5"/>
    <mergeCell ref="C2:D2"/>
    <mergeCell ref="B6:B9"/>
    <mergeCell ref="B10:B13"/>
    <mergeCell ref="B14:B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o" ma:contentTypeID="0x0101005751C9ADE432C3479AE314E2680FF2C6" ma:contentTypeVersion="2" ma:contentTypeDescription="Crear nuevo documento." ma:contentTypeScope="" ma:versionID="dd56b11c3004821a810e59c2c2de5b19">
  <xsd:schema xmlns:xsd="http://www.w3.org/2001/XMLSchema" xmlns:xs="http://www.w3.org/2001/XMLSchema" xmlns:p="http://schemas.microsoft.com/office/2006/metadata/properties" xmlns:ns2="5ad821dc-8f54-4065-a460-c82e1f79b580" targetNamespace="http://schemas.microsoft.com/office/2006/metadata/properties" ma:root="true" ma:fieldsID="b1c5a5695448b81d33b002fae39d28a8" ns2:_="">
    <xsd:import namespace="5ad821dc-8f54-4065-a460-c82e1f79b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d821dc-8f54-4065-a460-c82e1f79b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79B61C-D0F8-41BB-B931-EACF97BF87B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1633EC0-9DF3-41FC-9728-DE4BF7570B53}">
  <ds:schemaRefs>
    <ds:schemaRef ds:uri="http://schemas.microsoft.com/DataMashup"/>
  </ds:schemaRefs>
</ds:datastoreItem>
</file>

<file path=customXml/itemProps3.xml><?xml version="1.0" encoding="utf-8"?>
<ds:datastoreItem xmlns:ds="http://schemas.openxmlformats.org/officeDocument/2006/customXml" ds:itemID="{B7A6DCFB-99A4-4511-9730-0B9805CE0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d821dc-8f54-4065-a460-c82e1f79b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2D020E-A6C0-4C4B-A207-39469929D98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Calculadora</vt:lpstr>
      <vt:lpstr>Puntaje Cuanti</vt:lpstr>
      <vt:lpstr>Puntaje Cuali</vt:lpstr>
      <vt:lpstr>Calculadora!Área_de_impresión</vt:lpstr>
    </vt:vector>
  </TitlesOfParts>
  <Company>Banco del Bajio,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framirezf</dc:creator>
  <cp:lastModifiedBy>Gabriel</cp:lastModifiedBy>
  <cp:lastPrinted>2013-09-17T22:25:25Z</cp:lastPrinted>
  <dcterms:created xsi:type="dcterms:W3CDTF">2013-08-16T14:57:50Z</dcterms:created>
  <dcterms:modified xsi:type="dcterms:W3CDTF">2022-09-21T18:55:23Z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0x0101005751C9ADE432C3479AE314E2680FF2C6</vt:lpwstr>
  </property>
</Properties>
</file>